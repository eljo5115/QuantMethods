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li/noticloud/Documents/GitHub/QuantMethods/Investments/"/>
    </mc:Choice>
  </mc:AlternateContent>
  <xr:revisionPtr revIDLastSave="0" documentId="8_{52669DFD-B824-A448-B624-78C75CB62E1E}" xr6:coauthVersionLast="47" xr6:coauthVersionMax="47" xr10:uidLastSave="{00000000-0000-0000-0000-000000000000}"/>
  <bookViews>
    <workbookView xWindow="4440" yWindow="760" windowWidth="25800" windowHeight="16300" xr2:uid="{30B15585-58C1-FB4D-B848-DA6B655900CB}"/>
  </bookViews>
  <sheets>
    <sheet name="Security Descriptions" sheetId="1" r:id="rId1"/>
    <sheet name="Monthly Return Data Input" sheetId="5" r:id="rId2"/>
    <sheet name="Summary Statistics" sheetId="6" r:id="rId3"/>
    <sheet name="Markowitz Model" sheetId="7" r:id="rId4"/>
    <sheet name="Optimal Ports" sheetId="9" r:id="rId5"/>
    <sheet name="Markowitz II" sheetId="10" r:id="rId6"/>
    <sheet name="Plotting Markowitz" sheetId="12" r:id="rId7"/>
    <sheet name="R Verify Sheet" sheetId="11" r:id="rId8"/>
  </sheets>
  <externalReferences>
    <externalReference r:id="rId9"/>
  </externalReferences>
  <definedNames>
    <definedName name="A_08" localSheetId="4">'[1]Monthly Return Data Input'!$D$2:$D$79</definedName>
    <definedName name="A_08">'Monthly Return Data Input'!$D$2:$D$79</definedName>
    <definedName name="A_4A">'Monthly Return Data Input'!$D$53:$D$287</definedName>
    <definedName name="A_60" localSheetId="4">'[1]Monthly Return Data Input'!$D$227:$D$287</definedName>
    <definedName name="A_60">'Monthly Return Data Input'!$D$227:$D$287</definedName>
    <definedName name="A_comm" localSheetId="4">'[1]Monthly Return Data Input'!$D$53:$D$287</definedName>
    <definedName name="A_comm">'Monthly Return Data Input'!$D$53:$D$287</definedName>
    <definedName name="A_ret" localSheetId="4">'[1]Monthly Return Data Input'!$D$2:$D$287</definedName>
    <definedName name="A_ret">'Monthly Return Data Input'!$D$2:$D$287</definedName>
    <definedName name="GSPC_08" localSheetId="4">'[1]Monthly Return Data Input'!$B$2:$B$79</definedName>
    <definedName name="GSPC_08">'Monthly Return Data Input'!$B$2:$B$79</definedName>
    <definedName name="GSPC_60" localSheetId="4">'[1]Monthly Return Data Input'!$B$227:$B$287</definedName>
    <definedName name="GSPC_60">'Monthly Return Data Input'!$B$227:$B$287</definedName>
    <definedName name="GSPC_comm" localSheetId="4">'[1]Monthly Return Data Input'!$B$53:$B$287</definedName>
    <definedName name="GSPC_comm">'Monthly Return Data Input'!$B$53:$B$287</definedName>
    <definedName name="GSPC_ret" localSheetId="4">'[1]Monthly Return Data Input'!$B$2:$B$287</definedName>
    <definedName name="GSPC_ret">'Monthly Return Data Input'!$B$2:$B$287</definedName>
    <definedName name="MMM_08" localSheetId="4">'[1]Monthly Return Data Input'!$C$2:$C$79</definedName>
    <definedName name="MMM_08">'Monthly Return Data Input'!$C$2:$C$79</definedName>
    <definedName name="MMM_4A">'Monthly Return Data Input'!$C$53:$C$287</definedName>
    <definedName name="MMM_60" localSheetId="4">'[1]Monthly Return Data Input'!$C$227:$C$287</definedName>
    <definedName name="MMM_60">'Monthly Return Data Input'!$C$227:$C$287</definedName>
    <definedName name="MMM_comm" localSheetId="4">'[1]Monthly Return Data Input'!$C$53:$C$287</definedName>
    <definedName name="MMM_comm">'Monthly Return Data Input'!$C$53:$C$287</definedName>
    <definedName name="MMM_ret" localSheetId="4">'[1]Monthly Return Data Input'!$C$2:$C$287</definedName>
    <definedName name="MMM_ret">'Monthly Return Data Input'!$C$2:$C$287</definedName>
    <definedName name="SLV_4A">'Monthly Return Data Input'!$E$53:$E$287</definedName>
    <definedName name="SLV_60" localSheetId="4">'[1]Monthly Return Data Input'!$E$227:$E$287</definedName>
    <definedName name="SLV_60">'Monthly Return Data Input'!$E$227:$E$287</definedName>
    <definedName name="SLV_comm" localSheetId="4">'[1]Monthly Return Data Input'!$E$53:$E$287</definedName>
    <definedName name="SLV_comm">'Monthly Return Data Input'!$E$53:$E$287</definedName>
    <definedName name="SLV_ret" localSheetId="4">'[1]Monthly Return Data Input'!$E$2:$E$287</definedName>
    <definedName name="SLV_ret">'Monthly Return Data Input'!$E$2:$E$287</definedName>
    <definedName name="solver_adj" localSheetId="5" hidden="1">'Markowitz II'!$I$4:$L$4</definedName>
    <definedName name="solver_adj" localSheetId="3" hidden="1">'Markowitz Model'!$I$4:$K$4</definedName>
    <definedName name="solver_adj" localSheetId="7" hidden="1">'R Verify Sheet'!$F$4:$H$4</definedName>
    <definedName name="solver_cvg" localSheetId="5" hidden="1">0.0001</definedName>
    <definedName name="solver_cvg" localSheetId="3" hidden="1">0.0001</definedName>
    <definedName name="solver_cvg" localSheetId="7" hidden="1">0.0001</definedName>
    <definedName name="solver_drv" localSheetId="5" hidden="1">1</definedName>
    <definedName name="solver_drv" localSheetId="3" hidden="1">1</definedName>
    <definedName name="solver_drv" localSheetId="7" hidden="1">1</definedName>
    <definedName name="solver_eng" localSheetId="5" hidden="1">1</definedName>
    <definedName name="solver_eng" localSheetId="3" hidden="1">1</definedName>
    <definedName name="solver_eng" localSheetId="7" hidden="1">1</definedName>
    <definedName name="solver_est" localSheetId="5" hidden="1">1</definedName>
    <definedName name="solver_est" localSheetId="3" hidden="1">1</definedName>
    <definedName name="solver_itr" localSheetId="5" hidden="1">2147483647</definedName>
    <definedName name="solver_itr" localSheetId="3" hidden="1">2147483647</definedName>
    <definedName name="solver_itr" localSheetId="7" hidden="1">2147483647</definedName>
    <definedName name="solver_lhs1" localSheetId="5" hidden="1">'Markowitz II'!$M$4</definedName>
    <definedName name="solver_lhs1" localSheetId="3" hidden="1">'Markowitz Model'!$L$4</definedName>
    <definedName name="solver_lhs1" localSheetId="7" hidden="1">'R Verify Sheet'!$I$4</definedName>
    <definedName name="solver_lhs2" localSheetId="3" hidden="1">'Markowitz Model'!$L$9</definedName>
    <definedName name="solver_lin" localSheetId="3" hidden="1">2</definedName>
    <definedName name="solver_lin" localSheetId="7" hidden="1">2</definedName>
    <definedName name="solver_mip" localSheetId="5" hidden="1">2147483647</definedName>
    <definedName name="solver_mip" localSheetId="3" hidden="1">2147483647</definedName>
    <definedName name="solver_mip" localSheetId="7" hidden="1">2147483647</definedName>
    <definedName name="solver_mni" localSheetId="5" hidden="1">30</definedName>
    <definedName name="solver_mni" localSheetId="3" hidden="1">30</definedName>
    <definedName name="solver_mni" localSheetId="7" hidden="1">30</definedName>
    <definedName name="solver_mrt" localSheetId="5" hidden="1">0.075</definedName>
    <definedName name="solver_mrt" localSheetId="3" hidden="1">0.075</definedName>
    <definedName name="solver_mrt" localSheetId="7" hidden="1">0.075</definedName>
    <definedName name="solver_msl" localSheetId="5" hidden="1">2</definedName>
    <definedName name="solver_msl" localSheetId="3" hidden="1">2</definedName>
    <definedName name="solver_msl" localSheetId="7" hidden="1">2</definedName>
    <definedName name="solver_neg" localSheetId="5" hidden="1">1</definedName>
    <definedName name="solver_neg" localSheetId="3" hidden="1">1</definedName>
    <definedName name="solver_neg" localSheetId="7" hidden="1">1</definedName>
    <definedName name="solver_nod" localSheetId="5" hidden="1">2147483647</definedName>
    <definedName name="solver_nod" localSheetId="3" hidden="1">2147483647</definedName>
    <definedName name="solver_nod" localSheetId="7" hidden="1">2147483647</definedName>
    <definedName name="solver_num" localSheetId="5" hidden="1">1</definedName>
    <definedName name="solver_num" localSheetId="3" hidden="1">1</definedName>
    <definedName name="solver_num" localSheetId="7" hidden="1">1</definedName>
    <definedName name="solver_nwt" localSheetId="5" hidden="1">1</definedName>
    <definedName name="solver_nwt" localSheetId="3" hidden="1">1</definedName>
    <definedName name="solver_opt" localSheetId="5" hidden="1">'Markowitz II'!$L$7</definedName>
    <definedName name="solver_opt" localSheetId="3" hidden="1">'Markowitz Model'!$L$14</definedName>
    <definedName name="solver_opt" localSheetId="7" hidden="1">'R Verify Sheet'!$I$7</definedName>
    <definedName name="solver_pre" localSheetId="5" hidden="1">0.000001</definedName>
    <definedName name="solver_pre" localSheetId="3" hidden="1">0.000001</definedName>
    <definedName name="solver_pre" localSheetId="7" hidden="1">0.000001</definedName>
    <definedName name="solver_rbv" localSheetId="5" hidden="1">1</definedName>
    <definedName name="solver_rbv" localSheetId="3" hidden="1">1</definedName>
    <definedName name="solver_rbv" localSheetId="7" hidden="1">1</definedName>
    <definedName name="solver_rel1" localSheetId="5" hidden="1">2</definedName>
    <definedName name="solver_rel1" localSheetId="3" hidden="1">2</definedName>
    <definedName name="solver_rel1" localSheetId="7" hidden="1">2</definedName>
    <definedName name="solver_rel2" localSheetId="3" hidden="1">2</definedName>
    <definedName name="solver_rhs1" localSheetId="5" hidden="1">1</definedName>
    <definedName name="solver_rhs1" localSheetId="3" hidden="1">1</definedName>
    <definedName name="solver_rhs1" localSheetId="7" hidden="1">1</definedName>
    <definedName name="solver_rhs2" localSheetId="3" hidden="1">1</definedName>
    <definedName name="solver_rlx" localSheetId="5" hidden="1">2</definedName>
    <definedName name="solver_rlx" localSheetId="3" hidden="1">1</definedName>
    <definedName name="solver_rlx" localSheetId="7" hidden="1">1</definedName>
    <definedName name="solver_rsd" localSheetId="5" hidden="1">0</definedName>
    <definedName name="solver_rsd" localSheetId="3" hidden="1">0</definedName>
    <definedName name="solver_rsd" localSheetId="7" hidden="1">0</definedName>
    <definedName name="solver_scl" localSheetId="5" hidden="1">1</definedName>
    <definedName name="solver_scl" localSheetId="3" hidden="1">2</definedName>
    <definedName name="solver_scl" localSheetId="7" hidden="1">2</definedName>
    <definedName name="solver_sho" localSheetId="5" hidden="1">2</definedName>
    <definedName name="solver_sho" localSheetId="3" hidden="1">2</definedName>
    <definedName name="solver_sho" localSheetId="7" hidden="1">2</definedName>
    <definedName name="solver_ssz" localSheetId="5" hidden="1">100</definedName>
    <definedName name="solver_ssz" localSheetId="3" hidden="1">100</definedName>
    <definedName name="solver_ssz" localSheetId="7" hidden="1">100</definedName>
    <definedName name="solver_tim" localSheetId="5" hidden="1">2147483647</definedName>
    <definedName name="solver_tim" localSheetId="3" hidden="1">2147483647</definedName>
    <definedName name="solver_tim" localSheetId="7" hidden="1">2147483647</definedName>
    <definedName name="solver_tol" localSheetId="5" hidden="1">0.01</definedName>
    <definedName name="solver_tol" localSheetId="3" hidden="1">0.01</definedName>
    <definedName name="solver_tol" localSheetId="7" hidden="1">0.01</definedName>
    <definedName name="solver_typ" localSheetId="5" hidden="1">1</definedName>
    <definedName name="solver_typ" localSheetId="3" hidden="1">1</definedName>
    <definedName name="solver_typ" localSheetId="7" hidden="1">1</definedName>
    <definedName name="solver_val" localSheetId="5" hidden="1">0</definedName>
    <definedName name="solver_val" localSheetId="3" hidden="1">0</definedName>
    <definedName name="solver_val" localSheetId="7" hidden="1">0</definedName>
    <definedName name="solver_ver" localSheetId="5" hidden="1">3</definedName>
    <definedName name="solver_ver" localSheetId="3" hidden="1">2</definedName>
    <definedName name="solver_ver" localSheetId="7" hidden="1">2</definedName>
    <definedName name="SPY_4A">'Monthly Return Data Input'!$B$53:$B$287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J3" i="9"/>
  <c r="F7" i="11"/>
  <c r="C11" i="12"/>
  <c r="L19" i="10"/>
  <c r="A46" i="10"/>
  <c r="A45" i="10"/>
  <c r="A44" i="10"/>
  <c r="E41" i="10"/>
  <c r="D41" i="10"/>
  <c r="C41" i="10"/>
  <c r="M9" i="7"/>
  <c r="M14" i="7" a="1"/>
  <c r="M14" i="7"/>
  <c r="H19" i="10"/>
  <c r="I14" i="7"/>
  <c r="N4" i="7"/>
  <c r="L14" i="7"/>
  <c r="I4" i="11"/>
  <c r="G7" i="11"/>
  <c r="D32" i="10"/>
  <c r="E32" i="10"/>
  <c r="F32" i="10"/>
  <c r="C32" i="10"/>
  <c r="A38" i="10"/>
  <c r="A37" i="10"/>
  <c r="A36" i="10"/>
  <c r="A35" i="10"/>
  <c r="M11" i="10"/>
  <c r="H11" i="10"/>
  <c r="M4" i="10"/>
  <c r="D14" i="12" l="1"/>
  <c r="C14" i="12"/>
  <c r="H4" i="10" l="1"/>
  <c r="A23" i="11"/>
  <c r="A22" i="11"/>
  <c r="A21" i="11"/>
  <c r="D20" i="11"/>
  <c r="C20" i="11"/>
  <c r="B20" i="11"/>
  <c r="A29" i="10"/>
  <c r="A28" i="10"/>
  <c r="D17" i="11"/>
  <c r="A27" i="10"/>
  <c r="C17" i="11"/>
  <c r="A26" i="10"/>
  <c r="B17" i="11"/>
  <c r="D16" i="11"/>
  <c r="C16" i="11"/>
  <c r="B16" i="11"/>
  <c r="B15" i="11"/>
  <c r="C15" i="11"/>
  <c r="D15" i="11"/>
  <c r="D23" i="10"/>
  <c r="E23" i="10"/>
  <c r="F23" i="10"/>
  <c r="C23" i="10"/>
  <c r="H20" i="7"/>
  <c r="D10" i="10"/>
  <c r="F12" i="10"/>
  <c r="F11" i="10"/>
  <c r="F10" i="10"/>
  <c r="E13" i="10"/>
  <c r="D12" i="10"/>
  <c r="E11" i="10"/>
  <c r="D13" i="10"/>
  <c r="E10" i="10"/>
  <c r="C13" i="10"/>
  <c r="C12" i="10"/>
  <c r="C11" i="10"/>
  <c r="C10" i="10"/>
  <c r="E5" i="10"/>
  <c r="C6" i="12" s="1"/>
  <c r="E6" i="10"/>
  <c r="C7" i="12" s="1"/>
  <c r="E4" i="10"/>
  <c r="C5" i="12" s="1"/>
  <c r="E3" i="10"/>
  <c r="C4" i="12" s="1"/>
  <c r="D3" i="10" a="1"/>
  <c r="D3" i="10" s="1"/>
  <c r="D6" i="10" a="1"/>
  <c r="D6" i="10" s="1"/>
  <c r="D5" i="10" a="1"/>
  <c r="D5" i="10" s="1"/>
  <c r="D4" i="10" a="1"/>
  <c r="D4" i="10" s="1"/>
  <c r="C5" i="10"/>
  <c r="D6" i="12" s="1"/>
  <c r="C6" i="10"/>
  <c r="D7" i="12" s="1"/>
  <c r="C3" i="10"/>
  <c r="C4" i="10"/>
  <c r="D5" i="12" s="1"/>
  <c r="E5" i="12" s="1"/>
  <c r="F15" i="6"/>
  <c r="D5" i="7"/>
  <c r="D3" i="7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3" i="9"/>
  <c r="G4" i="9"/>
  <c r="G5" i="9"/>
  <c r="G6" i="9"/>
  <c r="G7" i="9"/>
  <c r="G8" i="9"/>
  <c r="G9" i="9"/>
  <c r="G10" i="9"/>
  <c r="K10" i="9" s="1"/>
  <c r="G11" i="9"/>
  <c r="K11" i="9" s="1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K30" i="9" s="1"/>
  <c r="G31" i="9"/>
  <c r="K31" i="9" s="1"/>
  <c r="G32" i="9"/>
  <c r="G33" i="9"/>
  <c r="G34" i="9"/>
  <c r="G35" i="9"/>
  <c r="G36" i="9"/>
  <c r="G37" i="9"/>
  <c r="G38" i="9"/>
  <c r="G39" i="9"/>
  <c r="G40" i="9"/>
  <c r="K40" i="9" s="1"/>
  <c r="G41" i="9"/>
  <c r="K41" i="9" s="1"/>
  <c r="G42" i="9"/>
  <c r="G43" i="9"/>
  <c r="G44" i="9"/>
  <c r="G45" i="9"/>
  <c r="G46" i="9"/>
  <c r="G47" i="9"/>
  <c r="G48" i="9"/>
  <c r="G49" i="9"/>
  <c r="G50" i="9"/>
  <c r="K50" i="9" s="1"/>
  <c r="G51" i="9"/>
  <c r="K51" i="9" s="1"/>
  <c r="G52" i="9"/>
  <c r="G53" i="9"/>
  <c r="G54" i="9"/>
  <c r="G55" i="9"/>
  <c r="G56" i="9"/>
  <c r="G57" i="9"/>
  <c r="G58" i="9"/>
  <c r="G59" i="9"/>
  <c r="G60" i="9"/>
  <c r="K60" i="9" s="1"/>
  <c r="G61" i="9"/>
  <c r="K61" i="9" s="1"/>
  <c r="G62" i="9"/>
  <c r="G63" i="9"/>
  <c r="G64" i="9"/>
  <c r="G65" i="9"/>
  <c r="G66" i="9"/>
  <c r="G67" i="9"/>
  <c r="G68" i="9"/>
  <c r="G69" i="9"/>
  <c r="G70" i="9"/>
  <c r="G71" i="9"/>
  <c r="K71" i="9" s="1"/>
  <c r="G72" i="9"/>
  <c r="G73" i="9"/>
  <c r="G74" i="9"/>
  <c r="G75" i="9"/>
  <c r="G76" i="9"/>
  <c r="G77" i="9"/>
  <c r="G78" i="9"/>
  <c r="G79" i="9"/>
  <c r="G80" i="9"/>
  <c r="K80" i="9" s="1"/>
  <c r="G81" i="9"/>
  <c r="K81" i="9" s="1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K100" i="9" s="1"/>
  <c r="G101" i="9"/>
  <c r="K101" i="9" s="1"/>
  <c r="G102" i="9"/>
  <c r="G103" i="9"/>
  <c r="G104" i="9"/>
  <c r="G105" i="9"/>
  <c r="G106" i="9"/>
  <c r="G107" i="9"/>
  <c r="G108" i="9"/>
  <c r="G109" i="9"/>
  <c r="G110" i="9"/>
  <c r="K110" i="9" s="1"/>
  <c r="G111" i="9"/>
  <c r="K111" i="9" s="1"/>
  <c r="G112" i="9"/>
  <c r="G113" i="9"/>
  <c r="G114" i="9"/>
  <c r="G115" i="9"/>
  <c r="G116" i="9"/>
  <c r="G117" i="9"/>
  <c r="G118" i="9"/>
  <c r="G119" i="9"/>
  <c r="G120" i="9"/>
  <c r="K120" i="9" s="1"/>
  <c r="G121" i="9"/>
  <c r="K121" i="9" s="1"/>
  <c r="G122" i="9"/>
  <c r="G123" i="9"/>
  <c r="G124" i="9"/>
  <c r="G125" i="9"/>
  <c r="G126" i="9"/>
  <c r="G127" i="9"/>
  <c r="G128" i="9"/>
  <c r="G129" i="9"/>
  <c r="G130" i="9"/>
  <c r="K130" i="9" s="1"/>
  <c r="G131" i="9"/>
  <c r="K131" i="9" s="1"/>
  <c r="G132" i="9"/>
  <c r="G133" i="9"/>
  <c r="G134" i="9"/>
  <c r="G135" i="9"/>
  <c r="G136" i="9"/>
  <c r="G137" i="9"/>
  <c r="G138" i="9"/>
  <c r="G139" i="9"/>
  <c r="G140" i="9"/>
  <c r="G141" i="9"/>
  <c r="K141" i="9" s="1"/>
  <c r="G142" i="9"/>
  <c r="G143" i="9"/>
  <c r="G144" i="9"/>
  <c r="G145" i="9"/>
  <c r="G146" i="9"/>
  <c r="G147" i="9"/>
  <c r="G148" i="9"/>
  <c r="G149" i="9"/>
  <c r="G150" i="9"/>
  <c r="K150" i="9" s="1"/>
  <c r="G151" i="9"/>
  <c r="K151" i="9" s="1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K170" i="9" s="1"/>
  <c r="G171" i="9"/>
  <c r="K171" i="9" s="1"/>
  <c r="G172" i="9"/>
  <c r="G173" i="9"/>
  <c r="G174" i="9"/>
  <c r="G175" i="9"/>
  <c r="G176" i="9"/>
  <c r="G177" i="9"/>
  <c r="G178" i="9"/>
  <c r="G179" i="9"/>
  <c r="G180" i="9"/>
  <c r="K180" i="9" s="1"/>
  <c r="G181" i="9"/>
  <c r="K181" i="9" s="1"/>
  <c r="G182" i="9"/>
  <c r="G183" i="9"/>
  <c r="G184" i="9"/>
  <c r="G185" i="9"/>
  <c r="G186" i="9"/>
  <c r="G187" i="9"/>
  <c r="G188" i="9"/>
  <c r="G189" i="9"/>
  <c r="G190" i="9"/>
  <c r="K190" i="9" s="1"/>
  <c r="G191" i="9"/>
  <c r="K191" i="9" s="1"/>
  <c r="G192" i="9"/>
  <c r="G193" i="9"/>
  <c r="G194" i="9"/>
  <c r="G195" i="9"/>
  <c r="G196" i="9"/>
  <c r="G197" i="9"/>
  <c r="G198" i="9"/>
  <c r="G199" i="9"/>
  <c r="G200" i="9"/>
  <c r="K200" i="9" s="1"/>
  <c r="G201" i="9"/>
  <c r="K201" i="9" s="1"/>
  <c r="G202" i="9"/>
  <c r="G203" i="9"/>
  <c r="G204" i="9"/>
  <c r="G205" i="9"/>
  <c r="G206" i="9"/>
  <c r="G207" i="9"/>
  <c r="G208" i="9"/>
  <c r="G209" i="9"/>
  <c r="G210" i="9"/>
  <c r="G3" i="9"/>
  <c r="K3" i="9" s="1"/>
  <c r="F4" i="9"/>
  <c r="F5" i="9"/>
  <c r="F6" i="9"/>
  <c r="F7" i="9"/>
  <c r="F8" i="9"/>
  <c r="F9" i="9"/>
  <c r="F10" i="9"/>
  <c r="J10" i="9" s="1"/>
  <c r="F11" i="9"/>
  <c r="J11" i="9" s="1"/>
  <c r="F12" i="9"/>
  <c r="J12" i="9" s="1"/>
  <c r="F13" i="9"/>
  <c r="J13" i="9" s="1"/>
  <c r="F14" i="9"/>
  <c r="F15" i="9"/>
  <c r="F16" i="9"/>
  <c r="F17" i="9"/>
  <c r="F18" i="9"/>
  <c r="F19" i="9"/>
  <c r="F20" i="9"/>
  <c r="J20" i="9" s="1"/>
  <c r="F21" i="9"/>
  <c r="J21" i="9" s="1"/>
  <c r="F22" i="9"/>
  <c r="J22" i="9" s="1"/>
  <c r="F23" i="9"/>
  <c r="J23" i="9" s="1"/>
  <c r="F24" i="9"/>
  <c r="F25" i="9"/>
  <c r="F26" i="9"/>
  <c r="F27" i="9"/>
  <c r="F28" i="9"/>
  <c r="F29" i="9"/>
  <c r="F30" i="9"/>
  <c r="J30" i="9" s="1"/>
  <c r="F31" i="9"/>
  <c r="J31" i="9" s="1"/>
  <c r="F32" i="9"/>
  <c r="J32" i="9" s="1"/>
  <c r="F33" i="9"/>
  <c r="J33" i="9" s="1"/>
  <c r="F34" i="9"/>
  <c r="F35" i="9"/>
  <c r="F36" i="9"/>
  <c r="F37" i="9"/>
  <c r="F38" i="9"/>
  <c r="F39" i="9"/>
  <c r="F40" i="9"/>
  <c r="J40" i="9" s="1"/>
  <c r="F41" i="9"/>
  <c r="J41" i="9" s="1"/>
  <c r="F42" i="9"/>
  <c r="J42" i="9" s="1"/>
  <c r="F43" i="9"/>
  <c r="J43" i="9" s="1"/>
  <c r="F44" i="9"/>
  <c r="F45" i="9"/>
  <c r="F46" i="9"/>
  <c r="F47" i="9"/>
  <c r="F48" i="9"/>
  <c r="F49" i="9"/>
  <c r="F50" i="9"/>
  <c r="J50" i="9" s="1"/>
  <c r="F51" i="9"/>
  <c r="J51" i="9" s="1"/>
  <c r="F52" i="9"/>
  <c r="J52" i="9" s="1"/>
  <c r="F53" i="9"/>
  <c r="J53" i="9" s="1"/>
  <c r="F54" i="9"/>
  <c r="F55" i="9"/>
  <c r="F56" i="9"/>
  <c r="F57" i="9"/>
  <c r="F58" i="9"/>
  <c r="F59" i="9"/>
  <c r="F60" i="9"/>
  <c r="J60" i="9" s="1"/>
  <c r="F61" i="9"/>
  <c r="J61" i="9" s="1"/>
  <c r="F62" i="9"/>
  <c r="J62" i="9" s="1"/>
  <c r="F63" i="9"/>
  <c r="J63" i="9" s="1"/>
  <c r="F64" i="9"/>
  <c r="F65" i="9"/>
  <c r="F66" i="9"/>
  <c r="F67" i="9"/>
  <c r="F68" i="9"/>
  <c r="F69" i="9"/>
  <c r="F70" i="9"/>
  <c r="J70" i="9" s="1"/>
  <c r="F71" i="9"/>
  <c r="J71" i="9" s="1"/>
  <c r="F72" i="9"/>
  <c r="J72" i="9" s="1"/>
  <c r="F73" i="9"/>
  <c r="J73" i="9" s="1"/>
  <c r="F74" i="9"/>
  <c r="F75" i="9"/>
  <c r="F76" i="9"/>
  <c r="F77" i="9"/>
  <c r="F78" i="9"/>
  <c r="F79" i="9"/>
  <c r="F80" i="9"/>
  <c r="J80" i="9" s="1"/>
  <c r="F81" i="9"/>
  <c r="J81" i="9" s="1"/>
  <c r="F82" i="9"/>
  <c r="J82" i="9" s="1"/>
  <c r="F83" i="9"/>
  <c r="J83" i="9" s="1"/>
  <c r="F84" i="9"/>
  <c r="F85" i="9"/>
  <c r="F86" i="9"/>
  <c r="F87" i="9"/>
  <c r="F88" i="9"/>
  <c r="F89" i="9"/>
  <c r="F90" i="9"/>
  <c r="J90" i="9" s="1"/>
  <c r="F91" i="9"/>
  <c r="J91" i="9" s="1"/>
  <c r="F92" i="9"/>
  <c r="J92" i="9" s="1"/>
  <c r="F93" i="9"/>
  <c r="J93" i="9" s="1"/>
  <c r="F94" i="9"/>
  <c r="F95" i="9"/>
  <c r="F96" i="9"/>
  <c r="F97" i="9"/>
  <c r="F98" i="9"/>
  <c r="F99" i="9"/>
  <c r="F100" i="9"/>
  <c r="J100" i="9" s="1"/>
  <c r="F101" i="9"/>
  <c r="J101" i="9" s="1"/>
  <c r="F102" i="9"/>
  <c r="J102" i="9" s="1"/>
  <c r="F103" i="9"/>
  <c r="J103" i="9" s="1"/>
  <c r="F104" i="9"/>
  <c r="F105" i="9"/>
  <c r="F106" i="9"/>
  <c r="F107" i="9"/>
  <c r="F108" i="9"/>
  <c r="F109" i="9"/>
  <c r="F110" i="9"/>
  <c r="J110" i="9" s="1"/>
  <c r="F111" i="9"/>
  <c r="J111" i="9" s="1"/>
  <c r="F112" i="9"/>
  <c r="J112" i="9" s="1"/>
  <c r="F113" i="9"/>
  <c r="J113" i="9" s="1"/>
  <c r="F114" i="9"/>
  <c r="F115" i="9"/>
  <c r="F116" i="9"/>
  <c r="F117" i="9"/>
  <c r="F118" i="9"/>
  <c r="F119" i="9"/>
  <c r="F120" i="9"/>
  <c r="J120" i="9" s="1"/>
  <c r="F121" i="9"/>
  <c r="J121" i="9" s="1"/>
  <c r="F122" i="9"/>
  <c r="J122" i="9" s="1"/>
  <c r="F123" i="9"/>
  <c r="J123" i="9" s="1"/>
  <c r="F124" i="9"/>
  <c r="F125" i="9"/>
  <c r="F126" i="9"/>
  <c r="F127" i="9"/>
  <c r="F128" i="9"/>
  <c r="F129" i="9"/>
  <c r="F130" i="9"/>
  <c r="J130" i="9" s="1"/>
  <c r="F131" i="9"/>
  <c r="J131" i="9" s="1"/>
  <c r="F132" i="9"/>
  <c r="J132" i="9" s="1"/>
  <c r="F133" i="9"/>
  <c r="J133" i="9" s="1"/>
  <c r="F134" i="9"/>
  <c r="F135" i="9"/>
  <c r="F136" i="9"/>
  <c r="F137" i="9"/>
  <c r="F138" i="9"/>
  <c r="F139" i="9"/>
  <c r="F140" i="9"/>
  <c r="J140" i="9" s="1"/>
  <c r="F141" i="9"/>
  <c r="J141" i="9" s="1"/>
  <c r="F142" i="9"/>
  <c r="J142" i="9" s="1"/>
  <c r="F143" i="9"/>
  <c r="J143" i="9" s="1"/>
  <c r="F144" i="9"/>
  <c r="F145" i="9"/>
  <c r="F146" i="9"/>
  <c r="F147" i="9"/>
  <c r="F148" i="9"/>
  <c r="F149" i="9"/>
  <c r="F150" i="9"/>
  <c r="J150" i="9" s="1"/>
  <c r="F151" i="9"/>
  <c r="J151" i="9" s="1"/>
  <c r="F152" i="9"/>
  <c r="J152" i="9" s="1"/>
  <c r="F153" i="9"/>
  <c r="J153" i="9" s="1"/>
  <c r="F154" i="9"/>
  <c r="F155" i="9"/>
  <c r="F156" i="9"/>
  <c r="F157" i="9"/>
  <c r="F158" i="9"/>
  <c r="F159" i="9"/>
  <c r="F160" i="9"/>
  <c r="J160" i="9" s="1"/>
  <c r="F161" i="9"/>
  <c r="J161" i="9" s="1"/>
  <c r="F162" i="9"/>
  <c r="J162" i="9" s="1"/>
  <c r="F163" i="9"/>
  <c r="J163" i="9" s="1"/>
  <c r="F164" i="9"/>
  <c r="F165" i="9"/>
  <c r="F166" i="9"/>
  <c r="F167" i="9"/>
  <c r="F168" i="9"/>
  <c r="F169" i="9"/>
  <c r="F170" i="9"/>
  <c r="J170" i="9" s="1"/>
  <c r="F171" i="9"/>
  <c r="J171" i="9" s="1"/>
  <c r="F172" i="9"/>
  <c r="J172" i="9" s="1"/>
  <c r="F173" i="9"/>
  <c r="J173" i="9" s="1"/>
  <c r="F174" i="9"/>
  <c r="F175" i="9"/>
  <c r="F176" i="9"/>
  <c r="F177" i="9"/>
  <c r="F178" i="9"/>
  <c r="F179" i="9"/>
  <c r="F180" i="9"/>
  <c r="J180" i="9" s="1"/>
  <c r="F181" i="9"/>
  <c r="F182" i="9"/>
  <c r="J182" i="9" s="1"/>
  <c r="F183" i="9"/>
  <c r="J183" i="9" s="1"/>
  <c r="F184" i="9"/>
  <c r="F185" i="9"/>
  <c r="F186" i="9"/>
  <c r="F187" i="9"/>
  <c r="F188" i="9"/>
  <c r="F189" i="9"/>
  <c r="F190" i="9"/>
  <c r="J190" i="9" s="1"/>
  <c r="F191" i="9"/>
  <c r="J191" i="9" s="1"/>
  <c r="F192" i="9"/>
  <c r="J192" i="9" s="1"/>
  <c r="F193" i="9"/>
  <c r="J193" i="9" s="1"/>
  <c r="F194" i="9"/>
  <c r="F195" i="9"/>
  <c r="F196" i="9"/>
  <c r="F197" i="9"/>
  <c r="F198" i="9"/>
  <c r="F199" i="9"/>
  <c r="F200" i="9"/>
  <c r="J200" i="9" s="1"/>
  <c r="F201" i="9"/>
  <c r="J201" i="9" s="1"/>
  <c r="F202" i="9"/>
  <c r="J202" i="9" s="1"/>
  <c r="F203" i="9"/>
  <c r="J203" i="9" s="1"/>
  <c r="F204" i="9"/>
  <c r="F205" i="9"/>
  <c r="F206" i="9"/>
  <c r="F207" i="9"/>
  <c r="F208" i="9"/>
  <c r="F209" i="9"/>
  <c r="F210" i="9"/>
  <c r="J210" i="9" s="1"/>
  <c r="F5" i="7"/>
  <c r="J20" i="7" s="1"/>
  <c r="C15" i="6"/>
  <c r="H9" i="7"/>
  <c r="H4" i="7"/>
  <c r="L9" i="7"/>
  <c r="L4" i="7"/>
  <c r="B38" i="7"/>
  <c r="B37" i="7"/>
  <c r="B36" i="7"/>
  <c r="E34" i="7"/>
  <c r="D34" i="7"/>
  <c r="B30" i="7"/>
  <c r="B29" i="7"/>
  <c r="B28" i="7"/>
  <c r="E26" i="7"/>
  <c r="F26" i="7"/>
  <c r="D26" i="7"/>
  <c r="H22" i="7"/>
  <c r="H21" i="7"/>
  <c r="F4" i="7"/>
  <c r="I20" i="7" s="1"/>
  <c r="F3" i="7"/>
  <c r="E13" i="7"/>
  <c r="D13" i="7"/>
  <c r="D14" i="7"/>
  <c r="E14" i="7"/>
  <c r="F14" i="7"/>
  <c r="F13" i="7"/>
  <c r="D10" i="6" a="1"/>
  <c r="D10" i="6" s="1"/>
  <c r="E5" i="7" a="1"/>
  <c r="E5" i="7" s="1"/>
  <c r="D9" i="6" a="1"/>
  <c r="D9" i="6" s="1"/>
  <c r="D8" i="6" a="1"/>
  <c r="D8" i="6" s="1"/>
  <c r="D7" i="6" a="1"/>
  <c r="D7" i="6" s="1"/>
  <c r="E4" i="7" a="1"/>
  <c r="E4" i="7" s="1"/>
  <c r="D6" i="6" a="1"/>
  <c r="D6" i="6" s="1"/>
  <c r="D5" i="6" a="1"/>
  <c r="D5" i="6" s="1"/>
  <c r="E3" i="7" a="1"/>
  <c r="E3" i="7" s="1"/>
  <c r="D4" i="6" a="1"/>
  <c r="D4" i="6" s="1"/>
  <c r="D3" i="6" a="1"/>
  <c r="D3" i="6" s="1"/>
  <c r="E6" i="12" l="1"/>
  <c r="C18" i="10"/>
  <c r="A18" i="10"/>
  <c r="C17" i="10" s="1"/>
  <c r="C25" i="10" s="1"/>
  <c r="K7" i="10"/>
  <c r="D8" i="12" s="1"/>
  <c r="D4" i="12"/>
  <c r="E4" i="12" s="1"/>
  <c r="K22" i="10"/>
  <c r="D9" i="12" s="1"/>
  <c r="A21" i="10"/>
  <c r="C20" i="10" s="1"/>
  <c r="E7" i="12"/>
  <c r="A20" i="10"/>
  <c r="A19" i="10"/>
  <c r="C15" i="10"/>
  <c r="D15" i="10"/>
  <c r="D18" i="10" s="1"/>
  <c r="D26" i="10" s="1"/>
  <c r="K14" i="10"/>
  <c r="E15" i="10"/>
  <c r="E19" i="10" s="1"/>
  <c r="E27" i="10" s="1"/>
  <c r="F15" i="10"/>
  <c r="F19" i="10" s="1"/>
  <c r="D23" i="11"/>
  <c r="B23" i="11"/>
  <c r="C23" i="11"/>
  <c r="K164" i="9"/>
  <c r="K208" i="9"/>
  <c r="K198" i="9"/>
  <c r="K178" i="9"/>
  <c r="K158" i="9"/>
  <c r="K148" i="9"/>
  <c r="K138" i="9"/>
  <c r="K128" i="9"/>
  <c r="K108" i="9"/>
  <c r="K88" i="9"/>
  <c r="K78" i="9"/>
  <c r="K68" i="9"/>
  <c r="K58" i="9"/>
  <c r="K38" i="9"/>
  <c r="K18" i="9"/>
  <c r="K8" i="9"/>
  <c r="K207" i="9"/>
  <c r="K197" i="9"/>
  <c r="K187" i="9"/>
  <c r="K177" i="9"/>
  <c r="K167" i="9"/>
  <c r="K157" i="9"/>
  <c r="K137" i="9"/>
  <c r="K127" i="9"/>
  <c r="K117" i="9"/>
  <c r="K107" i="9"/>
  <c r="K97" i="9"/>
  <c r="K87" i="9"/>
  <c r="K67" i="9"/>
  <c r="K57" i="9"/>
  <c r="K47" i="9"/>
  <c r="K37" i="9"/>
  <c r="K27" i="9"/>
  <c r="K17" i="9"/>
  <c r="J108" i="9"/>
  <c r="J38" i="9"/>
  <c r="K206" i="9"/>
  <c r="K196" i="9"/>
  <c r="K186" i="9"/>
  <c r="K176" i="9"/>
  <c r="K166" i="9"/>
  <c r="K156" i="9"/>
  <c r="K136" i="9"/>
  <c r="K116" i="9"/>
  <c r="K106" i="9"/>
  <c r="K96" i="9"/>
  <c r="K86" i="9"/>
  <c r="K66" i="9"/>
  <c r="K46" i="9"/>
  <c r="K36" i="9"/>
  <c r="K26" i="9"/>
  <c r="K16" i="9"/>
  <c r="J207" i="9"/>
  <c r="J197" i="9"/>
  <c r="J187" i="9"/>
  <c r="J177" i="9"/>
  <c r="J167" i="9"/>
  <c r="J157" i="9"/>
  <c r="J147" i="9"/>
  <c r="J137" i="9"/>
  <c r="J127" i="9"/>
  <c r="J117" i="9"/>
  <c r="J107" i="9"/>
  <c r="J97" i="9"/>
  <c r="J87" i="9"/>
  <c r="J77" i="9"/>
  <c r="J67" i="9"/>
  <c r="J57" i="9"/>
  <c r="J47" i="9"/>
  <c r="J37" i="9"/>
  <c r="J27" i="9"/>
  <c r="J17" i="9"/>
  <c r="J7" i="9"/>
  <c r="J206" i="9"/>
  <c r="J196" i="9"/>
  <c r="J186" i="9"/>
  <c r="J176" i="9"/>
  <c r="J166" i="9"/>
  <c r="J156" i="9"/>
  <c r="J146" i="9"/>
  <c r="J136" i="9"/>
  <c r="J126" i="9"/>
  <c r="J116" i="9"/>
  <c r="J106" i="9"/>
  <c r="J96" i="9"/>
  <c r="J86" i="9"/>
  <c r="J76" i="9"/>
  <c r="J66" i="9"/>
  <c r="J56" i="9"/>
  <c r="J46" i="9"/>
  <c r="J36" i="9"/>
  <c r="J26" i="9"/>
  <c r="J16" i="9"/>
  <c r="J6" i="9"/>
  <c r="K204" i="9"/>
  <c r="K194" i="9"/>
  <c r="K184" i="9"/>
  <c r="K144" i="9"/>
  <c r="K134" i="9"/>
  <c r="K124" i="9"/>
  <c r="K114" i="9"/>
  <c r="K94" i="9"/>
  <c r="K74" i="9"/>
  <c r="K64" i="9"/>
  <c r="K54" i="9"/>
  <c r="K44" i="9"/>
  <c r="K24" i="9"/>
  <c r="K4" i="9"/>
  <c r="J205" i="9"/>
  <c r="J195" i="9"/>
  <c r="J185" i="9"/>
  <c r="J175" i="9"/>
  <c r="J165" i="9"/>
  <c r="J155" i="9"/>
  <c r="J145" i="9"/>
  <c r="J135" i="9"/>
  <c r="J125" i="9"/>
  <c r="J115" i="9"/>
  <c r="J105" i="9"/>
  <c r="J95" i="9"/>
  <c r="J85" i="9"/>
  <c r="J75" i="9"/>
  <c r="J65" i="9"/>
  <c r="J55" i="9"/>
  <c r="J45" i="9"/>
  <c r="J35" i="9"/>
  <c r="J25" i="9"/>
  <c r="J15" i="9"/>
  <c r="J5" i="9"/>
  <c r="K193" i="9"/>
  <c r="K183" i="9"/>
  <c r="K173" i="9"/>
  <c r="K163" i="9"/>
  <c r="K153" i="9"/>
  <c r="K143" i="9"/>
  <c r="K123" i="9"/>
  <c r="K113" i="9"/>
  <c r="K103" i="9"/>
  <c r="K93" i="9"/>
  <c r="K83" i="9"/>
  <c r="K73" i="9"/>
  <c r="K53" i="9"/>
  <c r="K43" i="9"/>
  <c r="K33" i="9"/>
  <c r="K23" i="9"/>
  <c r="K13" i="9"/>
  <c r="J204" i="9"/>
  <c r="J194" i="9"/>
  <c r="J184" i="9"/>
  <c r="J174" i="9"/>
  <c r="J164" i="9"/>
  <c r="J154" i="9"/>
  <c r="J144" i="9"/>
  <c r="J134" i="9"/>
  <c r="J124" i="9"/>
  <c r="J114" i="9"/>
  <c r="J104" i="9"/>
  <c r="J94" i="9"/>
  <c r="J84" i="9"/>
  <c r="J74" i="9"/>
  <c r="J64" i="9"/>
  <c r="J54" i="9"/>
  <c r="J44" i="9"/>
  <c r="J34" i="9"/>
  <c r="J24" i="9"/>
  <c r="J14" i="9"/>
  <c r="J4" i="9"/>
  <c r="K192" i="9"/>
  <c r="K182" i="9"/>
  <c r="K172" i="9"/>
  <c r="K162" i="9"/>
  <c r="K152" i="9"/>
  <c r="K142" i="9"/>
  <c r="K122" i="9"/>
  <c r="K102" i="9"/>
  <c r="K92" i="9"/>
  <c r="K82" i="9"/>
  <c r="K72" i="9"/>
  <c r="K52" i="9"/>
  <c r="K32" i="9"/>
  <c r="K22" i="9"/>
  <c r="K12" i="9"/>
  <c r="D21" i="11"/>
  <c r="B22" i="11"/>
  <c r="B21" i="11"/>
  <c r="C22" i="11"/>
  <c r="D22" i="11"/>
  <c r="C21" i="11"/>
  <c r="J178" i="9"/>
  <c r="K95" i="9"/>
  <c r="J179" i="9"/>
  <c r="J129" i="9"/>
  <c r="J89" i="9"/>
  <c r="J69" i="9"/>
  <c r="J29" i="9"/>
  <c r="J9" i="9"/>
  <c r="K28" i="9"/>
  <c r="J208" i="9"/>
  <c r="J188" i="9"/>
  <c r="J168" i="9"/>
  <c r="J158" i="9"/>
  <c r="J148" i="9"/>
  <c r="J138" i="9"/>
  <c r="J128" i="9"/>
  <c r="J118" i="9"/>
  <c r="J98" i="9"/>
  <c r="J88" i="9"/>
  <c r="J78" i="9"/>
  <c r="J68" i="9"/>
  <c r="J58" i="9"/>
  <c r="J48" i="9"/>
  <c r="J28" i="9"/>
  <c r="J18" i="9"/>
  <c r="J8" i="9"/>
  <c r="J199" i="9"/>
  <c r="J169" i="9"/>
  <c r="J139" i="9"/>
  <c r="J99" i="9"/>
  <c r="J79" i="9"/>
  <c r="J39" i="9"/>
  <c r="J19" i="9"/>
  <c r="K48" i="9"/>
  <c r="J198" i="9"/>
  <c r="K205" i="9"/>
  <c r="K195" i="9"/>
  <c r="K185" i="9"/>
  <c r="K165" i="9"/>
  <c r="K155" i="9"/>
  <c r="K145" i="9"/>
  <c r="K135" i="9"/>
  <c r="K125" i="9"/>
  <c r="K115" i="9"/>
  <c r="K85" i="9"/>
  <c r="K75" i="9"/>
  <c r="K65" i="9"/>
  <c r="K55" i="9"/>
  <c r="K45" i="9"/>
  <c r="K25" i="9"/>
  <c r="K15" i="9"/>
  <c r="K5" i="9"/>
  <c r="J109" i="9"/>
  <c r="J119" i="9"/>
  <c r="J159" i="9"/>
  <c r="K203" i="9"/>
  <c r="K133" i="9"/>
  <c r="K63" i="9"/>
  <c r="J149" i="9"/>
  <c r="J49" i="9"/>
  <c r="K161" i="9"/>
  <c r="K91" i="9"/>
  <c r="K21" i="9"/>
  <c r="J189" i="9"/>
  <c r="J59" i="9"/>
  <c r="J181" i="9"/>
  <c r="K199" i="9"/>
  <c r="K179" i="9"/>
  <c r="K169" i="9"/>
  <c r="K159" i="9"/>
  <c r="K149" i="9"/>
  <c r="K139" i="9"/>
  <c r="K129" i="9"/>
  <c r="K109" i="9"/>
  <c r="K99" i="9"/>
  <c r="K89" i="9"/>
  <c r="K79" i="9"/>
  <c r="K69" i="9"/>
  <c r="K59" i="9"/>
  <c r="K39" i="9"/>
  <c r="K29" i="9"/>
  <c r="K19" i="9"/>
  <c r="K9" i="9"/>
  <c r="K202" i="9"/>
  <c r="K132" i="9"/>
  <c r="K112" i="9"/>
  <c r="K62" i="9"/>
  <c r="K42" i="9"/>
  <c r="K210" i="9"/>
  <c r="K140" i="9"/>
  <c r="J209" i="9"/>
  <c r="K189" i="9"/>
  <c r="K119" i="9"/>
  <c r="K49" i="9"/>
  <c r="K188" i="9"/>
  <c r="K118" i="9"/>
  <c r="K98" i="9"/>
  <c r="K160" i="9"/>
  <c r="K90" i="9"/>
  <c r="K20" i="9"/>
  <c r="K168" i="9"/>
  <c r="K147" i="9"/>
  <c r="K77" i="9"/>
  <c r="K7" i="9"/>
  <c r="K70" i="9"/>
  <c r="K146" i="9"/>
  <c r="K126" i="9"/>
  <c r="K76" i="9"/>
  <c r="K56" i="9"/>
  <c r="K6" i="9"/>
  <c r="K175" i="9"/>
  <c r="K105" i="9"/>
  <c r="K35" i="9"/>
  <c r="K174" i="9"/>
  <c r="K154" i="9"/>
  <c r="K104" i="9"/>
  <c r="K84" i="9"/>
  <c r="K34" i="9"/>
  <c r="K14" i="9"/>
  <c r="K209" i="9"/>
  <c r="E22" i="7"/>
  <c r="E30" i="7" s="1"/>
  <c r="F22" i="7"/>
  <c r="N9" i="7"/>
  <c r="O9" i="7" s="1"/>
  <c r="E21" i="7"/>
  <c r="E29" i="7" s="1"/>
  <c r="F34" i="7"/>
  <c r="D21" i="7"/>
  <c r="D29" i="7" s="1"/>
  <c r="D22" i="7"/>
  <c r="D30" i="7" s="1"/>
  <c r="F21" i="7"/>
  <c r="F29" i="7" s="1"/>
  <c r="F30" i="7"/>
  <c r="F12" i="7"/>
  <c r="F20" i="7" s="1"/>
  <c r="F28" i="7" s="1"/>
  <c r="E12" i="7"/>
  <c r="D12" i="7"/>
  <c r="D20" i="7" s="1"/>
  <c r="D4" i="7"/>
  <c r="N14" i="7" s="1"/>
  <c r="C3" i="6"/>
  <c r="I10" i="6"/>
  <c r="I8" i="6"/>
  <c r="I6" i="6"/>
  <c r="I4" i="6"/>
  <c r="H10" i="6"/>
  <c r="H8" i="6"/>
  <c r="H6" i="6"/>
  <c r="H4" i="6"/>
  <c r="C19" i="10" l="1"/>
  <c r="E17" i="10"/>
  <c r="E43" i="10" s="1"/>
  <c r="F18" i="10"/>
  <c r="F35" i="10" s="1"/>
  <c r="C37" i="10"/>
  <c r="C28" i="10"/>
  <c r="C36" i="10"/>
  <c r="C45" i="10"/>
  <c r="C27" i="10"/>
  <c r="F36" i="10"/>
  <c r="F27" i="10"/>
  <c r="D20" i="10"/>
  <c r="D19" i="10"/>
  <c r="C44" i="10"/>
  <c r="C35" i="10"/>
  <c r="E45" i="10"/>
  <c r="E36" i="10"/>
  <c r="C43" i="10"/>
  <c r="C34" i="10"/>
  <c r="D17" i="10"/>
  <c r="F17" i="10"/>
  <c r="F26" i="10"/>
  <c r="F20" i="10"/>
  <c r="C26" i="10"/>
  <c r="D35" i="10"/>
  <c r="D44" i="10"/>
  <c r="E25" i="10"/>
  <c r="E18" i="10"/>
  <c r="E20" i="10"/>
  <c r="H7" i="11"/>
  <c r="I7" i="11" s="1"/>
  <c r="D28" i="7"/>
  <c r="E20" i="7"/>
  <c r="O14" i="7" s="1"/>
  <c r="N3" i="9"/>
  <c r="N4" i="9"/>
  <c r="F18" i="6"/>
  <c r="E18" i="6"/>
  <c r="D18" i="6"/>
  <c r="C18" i="6"/>
  <c r="F17" i="6"/>
  <c r="E17" i="6"/>
  <c r="D17" i="6"/>
  <c r="C17" i="6"/>
  <c r="F16" i="6"/>
  <c r="E16" i="6"/>
  <c r="D16" i="6"/>
  <c r="C16" i="6"/>
  <c r="E15" i="6"/>
  <c r="D15" i="6"/>
  <c r="F9" i="6"/>
  <c r="F7" i="6"/>
  <c r="F5" i="6"/>
  <c r="F3" i="6"/>
  <c r="G10" i="6"/>
  <c r="G9" i="6"/>
  <c r="C10" i="6"/>
  <c r="E10" i="6"/>
  <c r="C9" i="6"/>
  <c r="E9" i="6"/>
  <c r="E8" i="6"/>
  <c r="E7" i="6"/>
  <c r="E6" i="6"/>
  <c r="E5" i="6"/>
  <c r="E4" i="6"/>
  <c r="E3" i="6"/>
  <c r="G8" i="6"/>
  <c r="G7" i="6"/>
  <c r="G6" i="6"/>
  <c r="C8" i="6"/>
  <c r="G5" i="6"/>
  <c r="C7" i="6"/>
  <c r="C6" i="6"/>
  <c r="G4" i="6"/>
  <c r="C5" i="6"/>
  <c r="G3" i="6"/>
  <c r="C4" i="6"/>
  <c r="E34" i="10" l="1"/>
  <c r="E37" i="10"/>
  <c r="E28" i="10"/>
  <c r="D45" i="10"/>
  <c r="D36" i="10"/>
  <c r="D27" i="10"/>
  <c r="D37" i="10"/>
  <c r="D28" i="10"/>
  <c r="D43" i="10"/>
  <c r="J22" i="10" s="1"/>
  <c r="C9" i="12" s="1"/>
  <c r="E9" i="12" s="1"/>
  <c r="D34" i="10"/>
  <c r="J14" i="10" s="1"/>
  <c r="D25" i="10"/>
  <c r="F34" i="10"/>
  <c r="F25" i="10"/>
  <c r="E35" i="10"/>
  <c r="E44" i="10"/>
  <c r="E26" i="10"/>
  <c r="F37" i="10"/>
  <c r="F28" i="10"/>
  <c r="E28" i="7"/>
  <c r="M4" i="7" s="1"/>
  <c r="B10" i="1"/>
  <c r="B7" i="1"/>
  <c r="E7" i="1"/>
  <c r="E6" i="1"/>
  <c r="B6" i="1"/>
  <c r="J7" i="10" l="1"/>
  <c r="C19" i="12"/>
  <c r="C18" i="12"/>
  <c r="C17" i="12"/>
  <c r="C16" i="12"/>
  <c r="C15" i="12"/>
  <c r="L7" i="10"/>
  <c r="C8" i="12"/>
  <c r="E8" i="12" s="1"/>
  <c r="L14" i="10"/>
  <c r="O4" i="7"/>
  <c r="D16" i="12" l="1"/>
  <c r="D17" i="12"/>
  <c r="D15" i="12"/>
  <c r="D19" i="12"/>
  <c r="D18" i="12"/>
  <c r="L2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 Nguyen</author>
  </authors>
  <commentList>
    <comment ref="H209" authorId="0" shapeId="0" xr:uid="{9DCE1DDF-DD70-49CB-A5E8-01B10E746019}">
      <text>
        <r>
          <rPr>
            <b/>
            <sz val="9"/>
            <color indexed="81"/>
            <rFont val="Tahoma"/>
            <family val="2"/>
          </rPr>
          <t>Ethan Nguyen:</t>
        </r>
        <r>
          <rPr>
            <sz val="9"/>
            <color indexed="81"/>
            <rFont val="Tahoma"/>
            <family val="2"/>
          </rPr>
          <t xml:space="preserve">
CSV file didn’t include RF values for these last two dates, used best estimate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7" authorId="0" shapeId="0" xr:uid="{ED672491-02A5-1749-95F4-B7B638E4987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Same as R script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3458D5-5DF7-7A41-914E-0236F423B062}" keepAlive="1" name="Query - Implementing_Markowitz_data" description="Connection to the 'Implementing_Markowitz_data' query in the workbook." type="5" refreshedVersion="0" background="1" saveData="1">
    <dbPr connection="Provider=Microsoft.Mashup.OleDb.1;Data Source=$Workbook$;Location=Implementing_Markowitz_data;Extended Properties=&quot;&quot;" command="SELECT * FROM [Implementing_Markowitz_data]"/>
  </connection>
  <connection id="2" xr16:uid="{FE3BAE37-C597-9648-8CF3-BF1E2D663864}" keepAlive="1" name="Query - Implementing_Markowitz_data (2)" description="Connection to the 'Implementing_Markowitz_data (2)' query in the workbook." type="5" refreshedVersion="0" background="1" saveData="1">
    <dbPr connection="Provider=Microsoft.Mashup.OleDb.1;Data Source=$Workbook$;Location=&quot;Implementing_Markowitz_data (2)&quot;;Extended Properties=&quot;&quot;" command="SELECT * FROM [Implementing_Markowitz_data (2)]"/>
  </connection>
  <connection id="3" xr16:uid="{E198C4CF-4D91-6E41-AEED-7A6137CAE20B}" keepAlive="1" name="Query - Implementing_Markowitz_data (3)" description="Connection to the 'Implementing_Markowitz_data (3)' query in the workbook." type="5" refreshedVersion="0" background="1" saveData="1">
    <dbPr connection="Provider=Microsoft.Mashup.OleDb.1;Data Source=$Workbook$;Location=&quot;Implementing_Markowitz_data (3)&quot;;Extended Properties=&quot;&quot;" command="SELECT * FROM [Implementing_Markowitz_data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<sst xmlns="http://schemas.openxmlformats.org/spreadsheetml/2006/main" count="308" uniqueCount="106">
  <si>
    <t>SECURITY</t>
  </si>
  <si>
    <t>SPY</t>
  </si>
  <si>
    <t>A</t>
  </si>
  <si>
    <t>MMM</t>
  </si>
  <si>
    <t>SLV</t>
  </si>
  <si>
    <t>ISSUER</t>
  </si>
  <si>
    <t>State Street Global Advisors</t>
  </si>
  <si>
    <t>Agilent Technologies, Inc.</t>
  </si>
  <si>
    <t>3M Company</t>
  </si>
  <si>
    <t>BlackRock</t>
  </si>
  <si>
    <t>FIRST ISSUED/OFFER DATE</t>
  </si>
  <si>
    <t>PURPOSE</t>
  </si>
  <si>
    <t>ETF that tracks the S&amp;P 500 Index, providing a well-diversified, market-cap-weighted portfolio of 500 of the largest U.S. stocks for broad market exposure.</t>
  </si>
  <si>
    <t>Stock of a company providing tools to analyze structural properties of chemicals, molecules, and cells, with applications in life sciences, diagnostics, and applied markets; operates in segments like life sciences/applied tools, cross-lab consumables/services, and diagnostics/genomics.</t>
  </si>
  <si>
    <t>Stock of a multinational conglomerate offering diversified technology products and services in safety/industrial (e.g., abrasives, respiratory protection), transportation/electronics (e.g., films, data center solutions), and consumer segments (e.g., cleaning products, office supplies); founded in 1902 and recently spun off its healthcare business.</t>
  </si>
  <si>
    <t>ETF that seeks to reflect the performance of the price of silver bullion, holding physical silver without active management to provide commodity exposure.</t>
  </si>
  <si>
    <t>EXPENSE RATIO</t>
  </si>
  <si>
    <t>N/A (stock)</t>
  </si>
  <si>
    <t>TURNOVER RATIO</t>
  </si>
  <si>
    <t>MORNINGSTAR STYLE BOX</t>
  </si>
  <si>
    <t>Large blend</t>
  </si>
  <si>
    <t>N/A (sStock)</t>
  </si>
  <si>
    <t>Commodities / Precious Metals</t>
  </si>
  <si>
    <t>COMPETITOR ETF/RIVAL FIRM</t>
  </si>
  <si>
    <t>Vanguard S&amp;P 500 ETF (VOO)</t>
  </si>
  <si>
    <t>Thermo Fisher Scientific (TMO)</t>
  </si>
  <si>
    <t>Honeywell International (HON)</t>
  </si>
  <si>
    <t>Aberdeen Standard Physical Silver ETF (SIVR)</t>
  </si>
  <si>
    <t>DIVIDEND YIELD</t>
  </si>
  <si>
    <t>INDUSTRY/SECTOR</t>
  </si>
  <si>
    <t>Broad Market U.S. Equities (ETF)</t>
  </si>
  <si>
    <t>Life Sciences Tools &amp; Diagnostics</t>
  </si>
  <si>
    <t>Industrials / Diversified Manufacturing</t>
  </si>
  <si>
    <t>Commodity ETF – Precious Metals</t>
  </si>
  <si>
    <t>Date</t>
  </si>
  <si>
    <t>SPY_ret</t>
  </si>
  <si>
    <t>MMM_ret</t>
  </si>
  <si>
    <t>A_ret</t>
  </si>
  <si>
    <t>SLV_ret</t>
  </si>
  <si>
    <t>-</t>
  </si>
  <si>
    <t>Arithmetic Mean</t>
  </si>
  <si>
    <t>Geometric Mean</t>
  </si>
  <si>
    <t>Variance</t>
  </si>
  <si>
    <t>Correlation</t>
  </si>
  <si>
    <t>St. Dev.</t>
  </si>
  <si>
    <t>Alpha</t>
  </si>
  <si>
    <t>Beta</t>
  </si>
  <si>
    <t>A-60M</t>
  </si>
  <si>
    <t>GSPC</t>
  </si>
  <si>
    <t>GSPC-60M</t>
  </si>
  <si>
    <t>MMM-60M</t>
  </si>
  <si>
    <t>SLV-60M</t>
  </si>
  <si>
    <t>Correlation Matrix</t>
  </si>
  <si>
    <t>Arith Mean</t>
  </si>
  <si>
    <t>Geo Mean</t>
  </si>
  <si>
    <t>Standard Deviation</t>
  </si>
  <si>
    <t>Rf</t>
  </si>
  <si>
    <t>w_SPY</t>
  </si>
  <si>
    <t>w_A</t>
  </si>
  <si>
    <t>w_MMM</t>
  </si>
  <si>
    <t>E[R]</t>
  </si>
  <si>
    <t>Sharpe</t>
  </si>
  <si>
    <t>Solver Portfolio-Weight Optimization</t>
  </si>
  <si>
    <t>W_SPY</t>
  </si>
  <si>
    <t>W_A</t>
  </si>
  <si>
    <t>Bordered Cov. Matrix</t>
  </si>
  <si>
    <t>m_port_arith</t>
  </si>
  <si>
    <t>m_port_geom</t>
  </si>
  <si>
    <t>French RF</t>
  </si>
  <si>
    <t>RF</t>
  </si>
  <si>
    <t>excess_arith</t>
  </si>
  <si>
    <t>excess_geom</t>
  </si>
  <si>
    <t>Model</t>
  </si>
  <si>
    <t>Arithmetic</t>
  </si>
  <si>
    <t>Geometric</t>
  </si>
  <si>
    <t>St.Dev</t>
  </si>
  <si>
    <t>Bordered Cov Matrix</t>
  </si>
  <si>
    <t>Bordered Covariance</t>
  </si>
  <si>
    <t>W_MMM</t>
  </si>
  <si>
    <t>W_SLV</t>
  </si>
  <si>
    <t>Border Multiplied Cov</t>
  </si>
  <si>
    <t>St. Dev</t>
  </si>
  <si>
    <t>E[r]</t>
  </si>
  <si>
    <t>Er</t>
  </si>
  <si>
    <t>SD</t>
  </si>
  <si>
    <t>Border Mult Cov Matrix Geometric</t>
  </si>
  <si>
    <t>Cov. Matrix</t>
  </si>
  <si>
    <t>Border Mult Cov. Matrix Arithmetic</t>
  </si>
  <si>
    <t>Border Mult Cov. Matrix Geometric</t>
  </si>
  <si>
    <t>Sd</t>
  </si>
  <si>
    <t>Stock</t>
  </si>
  <si>
    <t>Bond</t>
  </si>
  <si>
    <t>Commodities</t>
  </si>
  <si>
    <t>w_Stock</t>
  </si>
  <si>
    <t>w_Bond</t>
  </si>
  <si>
    <t>w_Commodities</t>
  </si>
  <si>
    <t>Optimal 4A</t>
  </si>
  <si>
    <t>Optimal 3A</t>
  </si>
  <si>
    <t>CAL 4A</t>
  </si>
  <si>
    <t>Border Mult Cov Matrix Arithmetic Three Asset</t>
  </si>
  <si>
    <t>Border Mult Cov Matrix Arithmetic Four Asset</t>
  </si>
  <si>
    <t>Three Asset Arithmetic</t>
  </si>
  <si>
    <t>Asset</t>
  </si>
  <si>
    <t>CAL 3A</t>
  </si>
  <si>
    <t>Group Members:Ethan Nguyen, Ethan Paduch, Elandrous Peoples, Eli Jordan, Will Xu</t>
  </si>
  <si>
    <t>Commodties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</si>
</sst>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%"/>
    <numFmt numFmtId="165" formatCode="0.0000"/>
    <numFmt numFmtId="166" formatCode="0.000000000"/>
    <numFmt numFmtId="167" formatCode="0.00000%"/>
    <numFmt numFmtId="168" formatCode="0.00000"/>
    <numFmt numFmtId="174" formatCode="0.0000%"/>
  </numFmts>
  <fonts count="1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15" applyNumberFormat="0" applyFill="0" applyAlignment="0" applyProtection="0"/>
    <xf numFmtId="0" fontId="8" fillId="0" borderId="0" applyNumberFormat="0" applyFill="0" applyBorder="0" applyAlignment="0" applyProtection="0"/>
    <xf numFmtId="0" fontId="1" fillId="6" borderId="0" applyNumberFormat="0" applyBorder="0" applyAlignment="0" applyProtection="0"/>
  </cellStyleXfs>
  <cellXfs count="166">
    <xf numFmtId="0" fontId="0" fillId="0" borderId="0" xfId="0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14" fontId="0" fillId="0" borderId="0" xfId="0" applyNumberFormat="1"/>
    <xf numFmtId="0" fontId="6" fillId="0" borderId="0" xfId="0" applyFont="1" applyAlignment="1">
      <alignment wrapText="1"/>
    </xf>
    <xf numFmtId="10" fontId="0" fillId="0" borderId="0" xfId="0" applyNumberFormat="1"/>
    <xf numFmtId="9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3" fillId="3" borderId="4" xfId="0" applyFont="1" applyFill="1" applyBorder="1"/>
    <xf numFmtId="14" fontId="0" fillId="4" borderId="4" xfId="0" applyNumberFormat="1" applyFill="1" applyBorder="1"/>
    <xf numFmtId="14" fontId="0" fillId="0" borderId="4" xfId="0" applyNumberFormat="1" applyBorder="1"/>
    <xf numFmtId="14" fontId="0" fillId="0" borderId="1" xfId="0" applyNumberFormat="1" applyBorder="1"/>
    <xf numFmtId="164" fontId="0" fillId="0" borderId="6" xfId="2" applyNumberFormat="1" applyFont="1" applyBorder="1"/>
    <xf numFmtId="164" fontId="0" fillId="0" borderId="0" xfId="2" applyNumberFormat="1" applyFont="1"/>
    <xf numFmtId="164" fontId="3" fillId="3" borderId="5" xfId="2" applyNumberFormat="1" applyFont="1" applyFill="1" applyBorder="1"/>
    <xf numFmtId="164" fontId="3" fillId="3" borderId="6" xfId="2" applyNumberFormat="1" applyFont="1" applyFill="1" applyBorder="1"/>
    <xf numFmtId="164" fontId="0" fillId="4" borderId="5" xfId="2" applyNumberFormat="1" applyFont="1" applyFill="1" applyBorder="1"/>
    <xf numFmtId="164" fontId="0" fillId="4" borderId="6" xfId="2" applyNumberFormat="1" applyFont="1" applyFill="1" applyBorder="1"/>
    <xf numFmtId="164" fontId="0" fillId="0" borderId="5" xfId="2" applyNumberFormat="1" applyFont="1" applyBorder="1"/>
    <xf numFmtId="164" fontId="0" fillId="0" borderId="2" xfId="2" applyNumberFormat="1" applyFont="1" applyBorder="1"/>
    <xf numFmtId="164" fontId="0" fillId="0" borderId="3" xfId="2" applyNumberFormat="1" applyFont="1" applyBorder="1"/>
    <xf numFmtId="164" fontId="0" fillId="0" borderId="0" xfId="0" applyNumberFormat="1"/>
    <xf numFmtId="0" fontId="0" fillId="2" borderId="0" xfId="0" applyFill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0" xfId="0" applyAlignment="1">
      <alignment horizontal="center"/>
    </xf>
    <xf numFmtId="0" fontId="7" fillId="0" borderId="15" xfId="3"/>
    <xf numFmtId="10" fontId="0" fillId="4" borderId="2" xfId="2" applyNumberFormat="1" applyFont="1" applyFill="1" applyBorder="1"/>
    <xf numFmtId="10" fontId="0" fillId="0" borderId="2" xfId="2" applyNumberFormat="1" applyFont="1" applyBorder="1"/>
    <xf numFmtId="0" fontId="11" fillId="0" borderId="0" xfId="0" applyFont="1"/>
    <xf numFmtId="166" fontId="11" fillId="0" borderId="0" xfId="0" applyNumberFormat="1" applyFont="1"/>
    <xf numFmtId="0" fontId="0" fillId="0" borderId="7" xfId="0" applyBorder="1"/>
    <xf numFmtId="0" fontId="0" fillId="0" borderId="14" xfId="0" applyBorder="1"/>
    <xf numFmtId="0" fontId="11" fillId="0" borderId="0" xfId="0" applyFont="1" applyAlignment="1">
      <alignment horizontal="center"/>
    </xf>
    <xf numFmtId="168" fontId="0" fillId="0" borderId="0" xfId="0" applyNumberFormat="1"/>
    <xf numFmtId="0" fontId="11" fillId="9" borderId="0" xfId="0" applyFont="1" applyFill="1" applyAlignment="1">
      <alignment horizontal="center"/>
    </xf>
    <xf numFmtId="168" fontId="0" fillId="2" borderId="0" xfId="0" applyNumberFormat="1" applyFill="1"/>
    <xf numFmtId="168" fontId="0" fillId="2" borderId="7" xfId="0" applyNumberFormat="1" applyFill="1" applyBorder="1"/>
    <xf numFmtId="168" fontId="0" fillId="0" borderId="8" xfId="0" applyNumberFormat="1" applyBorder="1"/>
    <xf numFmtId="168" fontId="0" fillId="0" borderId="9" xfId="0" applyNumberFormat="1" applyBorder="1"/>
    <xf numFmtId="168" fontId="0" fillId="0" borderId="10" xfId="0" applyNumberFormat="1" applyBorder="1"/>
    <xf numFmtId="168" fontId="0" fillId="0" borderId="11" xfId="0" applyNumberFormat="1" applyBorder="1"/>
    <xf numFmtId="168" fontId="0" fillId="0" borderId="12" xfId="0" applyNumberFormat="1" applyBorder="1"/>
    <xf numFmtId="168" fontId="0" fillId="0" borderId="13" xfId="0" applyNumberFormat="1" applyBorder="1"/>
    <xf numFmtId="168" fontId="0" fillId="2" borderId="14" xfId="0" applyNumberFormat="1" applyFill="1" applyBorder="1"/>
    <xf numFmtId="10" fontId="0" fillId="0" borderId="8" xfId="2" applyNumberFormat="1" applyFont="1" applyBorder="1"/>
    <xf numFmtId="10" fontId="0" fillId="0" borderId="0" xfId="2" applyNumberFormat="1" applyFont="1" applyBorder="1"/>
    <xf numFmtId="10" fontId="0" fillId="0" borderId="13" xfId="2" applyNumberFormat="1" applyFont="1" applyBorder="1"/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3" fillId="10" borderId="7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167" fontId="0" fillId="0" borderId="12" xfId="2" applyNumberFormat="1" applyFont="1" applyBorder="1" applyAlignment="1">
      <alignment horizontal="center"/>
    </xf>
    <xf numFmtId="164" fontId="0" fillId="0" borderId="13" xfId="2" applyNumberFormat="1" applyFont="1" applyBorder="1"/>
    <xf numFmtId="167" fontId="0" fillId="0" borderId="12" xfId="2" applyNumberFormat="1" applyFont="1" applyBorder="1"/>
    <xf numFmtId="0" fontId="11" fillId="9" borderId="0" xfId="0" applyFont="1" applyFill="1" applyAlignment="1">
      <alignment horizontal="center" vertical="center"/>
    </xf>
    <xf numFmtId="0" fontId="0" fillId="7" borderId="14" xfId="0" applyFill="1" applyBorder="1"/>
    <xf numFmtId="0" fontId="3" fillId="10" borderId="10" xfId="0" applyFont="1" applyFill="1" applyBorder="1"/>
    <xf numFmtId="0" fontId="3" fillId="10" borderId="0" xfId="2" applyNumberFormat="1" applyFont="1" applyFill="1" applyBorder="1"/>
    <xf numFmtId="0" fontId="3" fillId="10" borderId="11" xfId="0" applyFont="1" applyFill="1" applyBorder="1"/>
    <xf numFmtId="10" fontId="0" fillId="0" borderId="12" xfId="0" applyNumberFormat="1" applyBorder="1"/>
    <xf numFmtId="9" fontId="0" fillId="5" borderId="13" xfId="2" applyFont="1" applyFill="1" applyBorder="1"/>
    <xf numFmtId="9" fontId="0" fillId="5" borderId="14" xfId="2" applyFont="1" applyFill="1" applyBorder="1"/>
    <xf numFmtId="9" fontId="0" fillId="5" borderId="13" xfId="0" applyNumberFormat="1" applyFill="1" applyBorder="1"/>
    <xf numFmtId="9" fontId="0" fillId="5" borderId="14" xfId="0" applyNumberFormat="1" applyFill="1" applyBorder="1"/>
    <xf numFmtId="0" fontId="11" fillId="10" borderId="0" xfId="0" applyFont="1" applyFill="1"/>
    <xf numFmtId="0" fontId="11" fillId="10" borderId="11" xfId="0" applyFont="1" applyFill="1" applyBorder="1"/>
    <xf numFmtId="0" fontId="0" fillId="5" borderId="13" xfId="0" applyFill="1" applyBorder="1"/>
    <xf numFmtId="0" fontId="0" fillId="5" borderId="14" xfId="0" applyFill="1" applyBorder="1"/>
    <xf numFmtId="0" fontId="3" fillId="10" borderId="7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168" fontId="0" fillId="2" borderId="0" xfId="0" applyNumberFormat="1" applyFill="1" applyBorder="1"/>
    <xf numFmtId="0" fontId="3" fillId="9" borderId="0" xfId="0" applyFont="1" applyFill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9" fontId="0" fillId="0" borderId="10" xfId="2" applyFon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10" fontId="0" fillId="0" borderId="8" xfId="0" applyNumberFormat="1" applyBorder="1"/>
    <xf numFmtId="10" fontId="0" fillId="0" borderId="0" xfId="0" applyNumberFormat="1" applyBorder="1"/>
    <xf numFmtId="10" fontId="0" fillId="0" borderId="13" xfId="0" applyNumberFormat="1" applyBorder="1"/>
    <xf numFmtId="0" fontId="0" fillId="0" borderId="7" xfId="0" applyBorder="1" applyAlignment="1">
      <alignment horizontal="center"/>
    </xf>
    <xf numFmtId="10" fontId="0" fillId="0" borderId="8" xfId="0" applyNumberFormat="1" applyBorder="1" applyAlignment="1">
      <alignment horizontal="center"/>
    </xf>
    <xf numFmtId="165" fontId="0" fillId="0" borderId="9" xfId="2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165" fontId="0" fillId="0" borderId="11" xfId="2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65" fontId="0" fillId="0" borderId="14" xfId="2" applyNumberFormat="1" applyFont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9" fontId="11" fillId="0" borderId="0" xfId="0" applyNumberFormat="1" applyFont="1"/>
    <xf numFmtId="9" fontId="11" fillId="0" borderId="0" xfId="2" applyFont="1"/>
    <xf numFmtId="0" fontId="3" fillId="10" borderId="7" xfId="0" applyFont="1" applyFill="1" applyBorder="1"/>
    <xf numFmtId="0" fontId="3" fillId="10" borderId="8" xfId="0" applyFont="1" applyFill="1" applyBorder="1"/>
    <xf numFmtId="0" fontId="3" fillId="10" borderId="9" xfId="0" applyFont="1" applyFill="1" applyBorder="1"/>
    <xf numFmtId="10" fontId="0" fillId="0" borderId="12" xfId="2" applyNumberFormat="1" applyFont="1" applyBorder="1"/>
    <xf numFmtId="165" fontId="0" fillId="0" borderId="14" xfId="1" applyNumberFormat="1" applyFont="1" applyBorder="1" applyAlignment="1">
      <alignment horizontal="center"/>
    </xf>
    <xf numFmtId="9" fontId="3" fillId="10" borderId="7" xfId="2" applyFont="1" applyFill="1" applyBorder="1"/>
    <xf numFmtId="164" fontId="0" fillId="0" borderId="13" xfId="0" applyNumberFormat="1" applyBorder="1"/>
    <xf numFmtId="2" fontId="0" fillId="0" borderId="14" xfId="1" applyNumberFormat="1" applyFont="1" applyBorder="1" applyAlignment="1">
      <alignment horizontal="center"/>
    </xf>
    <xf numFmtId="10" fontId="0" fillId="0" borderId="7" xfId="2" applyNumberFormat="1" applyFont="1" applyBorder="1"/>
    <xf numFmtId="10" fontId="0" fillId="0" borderId="10" xfId="2" applyNumberFormat="1" applyFont="1" applyBorder="1"/>
    <xf numFmtId="0" fontId="11" fillId="9" borderId="0" xfId="0" applyFont="1" applyFill="1"/>
    <xf numFmtId="0" fontId="11" fillId="9" borderId="0" xfId="0" applyFont="1" applyFill="1" applyAlignment="1">
      <alignment horizontal="left" indent="1"/>
    </xf>
    <xf numFmtId="10" fontId="0" fillId="0" borderId="7" xfId="0" applyNumberFormat="1" applyBorder="1"/>
    <xf numFmtId="10" fontId="0" fillId="0" borderId="10" xfId="0" applyNumberFormat="1" applyBorder="1"/>
    <xf numFmtId="0" fontId="0" fillId="0" borderId="0" xfId="0" applyBorder="1"/>
    <xf numFmtId="164" fontId="0" fillId="0" borderId="8" xfId="2" applyNumberFormat="1" applyFont="1" applyBorder="1"/>
    <xf numFmtId="164" fontId="0" fillId="0" borderId="0" xfId="2" applyNumberFormat="1" applyFont="1" applyBorder="1"/>
    <xf numFmtId="174" fontId="0" fillId="0" borderId="8" xfId="2" applyNumberFormat="1" applyFont="1" applyBorder="1"/>
    <xf numFmtId="174" fontId="0" fillId="0" borderId="0" xfId="2" applyNumberFormat="1" applyFont="1" applyBorder="1"/>
    <xf numFmtId="174" fontId="0" fillId="0" borderId="13" xfId="2" applyNumberFormat="1" applyFont="1" applyBorder="1"/>
    <xf numFmtId="10" fontId="0" fillId="0" borderId="9" xfId="2" applyNumberFormat="1" applyFont="1" applyBorder="1"/>
    <xf numFmtId="10" fontId="0" fillId="0" borderId="11" xfId="2" applyNumberFormat="1" applyFont="1" applyBorder="1"/>
    <xf numFmtId="10" fontId="0" fillId="0" borderId="14" xfId="2" applyNumberFormat="1" applyFont="1" applyBorder="1"/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3" xfId="0" applyFill="1" applyBorder="1"/>
    <xf numFmtId="0" fontId="0" fillId="8" borderId="14" xfId="0" applyFill="1" applyBorder="1"/>
    <xf numFmtId="0" fontId="3" fillId="9" borderId="7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0" fillId="0" borderId="17" xfId="0" applyBorder="1"/>
    <xf numFmtId="0" fontId="3" fillId="9" borderId="16" xfId="0" applyFont="1" applyFill="1" applyBorder="1"/>
    <xf numFmtId="164" fontId="0" fillId="0" borderId="7" xfId="2" applyNumberFormat="1" applyFon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64" fontId="0" fillId="0" borderId="12" xfId="2" applyNumberFormat="1" applyFont="1" applyBorder="1" applyAlignment="1">
      <alignment horizontal="center"/>
    </xf>
    <xf numFmtId="10" fontId="0" fillId="0" borderId="13" xfId="2" applyNumberFormat="1" applyFont="1" applyBorder="1" applyAlignment="1">
      <alignment horizontal="center"/>
    </xf>
    <xf numFmtId="0" fontId="1" fillId="0" borderId="0" xfId="5" applyFill="1"/>
    <xf numFmtId="0" fontId="8" fillId="0" borderId="10" xfId="4" applyBorder="1"/>
    <xf numFmtId="165" fontId="0" fillId="0" borderId="11" xfId="0" applyNumberFormat="1" applyBorder="1"/>
    <xf numFmtId="0" fontId="8" fillId="0" borderId="12" xfId="4" applyBorder="1"/>
    <xf numFmtId="165" fontId="0" fillId="7" borderId="14" xfId="0" applyNumberFormat="1" applyFill="1" applyBorder="1"/>
    <xf numFmtId="0" fontId="13" fillId="9" borderId="7" xfId="5" applyFont="1" applyFill="1" applyBorder="1" applyAlignment="1">
      <alignment horizontal="center"/>
    </xf>
    <xf numFmtId="0" fontId="13" fillId="9" borderId="9" xfId="5" applyFont="1" applyFill="1" applyBorder="1" applyAlignment="1">
      <alignment horizontal="center"/>
    </xf>
    <xf numFmtId="10" fontId="0" fillId="0" borderId="18" xfId="2" applyNumberFormat="1" applyFont="1" applyBorder="1"/>
    <xf numFmtId="10" fontId="0" fillId="0" borderId="22" xfId="2" applyNumberFormat="1" applyFont="1" applyBorder="1"/>
    <xf numFmtId="10" fontId="0" fillId="0" borderId="20" xfId="2" applyNumberFormat="1" applyFont="1" applyBorder="1"/>
    <xf numFmtId="14" fontId="12" fillId="0" borderId="13" xfId="0" applyNumberFormat="1" applyFont="1" applyBorder="1" applyAlignment="1">
      <alignment horizontal="center"/>
    </xf>
    <xf numFmtId="10" fontId="14" fillId="0" borderId="19" xfId="2" applyNumberFormat="1" applyFont="1" applyFill="1" applyBorder="1" applyAlignment="1">
      <alignment horizontal="center"/>
    </xf>
    <xf numFmtId="0" fontId="14" fillId="0" borderId="21" xfId="5" applyFont="1" applyFill="1" applyBorder="1" applyAlignment="1">
      <alignment horizontal="center"/>
    </xf>
    <xf numFmtId="10" fontId="14" fillId="0" borderId="23" xfId="2" applyNumberFormat="1" applyFont="1" applyBorder="1" applyAlignment="1">
      <alignment horizontal="center"/>
    </xf>
    <xf numFmtId="0" fontId="14" fillId="0" borderId="23" xfId="5" applyFont="1" applyFill="1" applyBorder="1" applyAlignment="1">
      <alignment horizontal="center"/>
    </xf>
    <xf numFmtId="0" fontId="0" fillId="11" borderId="0" xfId="0" applyFill="1"/>
    <xf numFmtId="0" fontId="3" fillId="9" borderId="8" xfId="0" applyFont="1" applyFill="1" applyBorder="1" applyAlignment="1">
      <alignment horizontal="center"/>
    </xf>
    <xf numFmtId="9" fontId="0" fillId="0" borderId="12" xfId="2" applyFont="1" applyBorder="1"/>
    <xf numFmtId="0" fontId="0" fillId="8" borderId="12" xfId="2" applyNumberFormat="1" applyFont="1" applyFill="1" applyBorder="1"/>
    <xf numFmtId="0" fontId="0" fillId="8" borderId="13" xfId="2" applyNumberFormat="1" applyFont="1" applyFill="1" applyBorder="1"/>
    <xf numFmtId="0" fontId="0" fillId="8" borderId="14" xfId="2" applyNumberFormat="1" applyFont="1" applyFill="1" applyBorder="1"/>
    <xf numFmtId="0" fontId="0" fillId="2" borderId="0" xfId="0" applyFill="1" applyBorder="1"/>
  </cellXfs>
  <cellStyles count="6">
    <cellStyle name="20% - Accent1" xfId="5" builtinId="30"/>
    <cellStyle name="Comma" xfId="1" builtinId="3"/>
    <cellStyle name="Heading 2" xfId="3" builtinId="17"/>
    <cellStyle name="Heading 4" xfId="4" builtinId="19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</a:t>
            </a:r>
            <a:r>
              <a:rPr lang="en-US" baseline="0"/>
              <a:t> allocation Lines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'Plotting Markowitz'!$D$3</c:f>
              <c:strCache>
                <c:ptCount val="1"/>
                <c:pt idx="0">
                  <c:v>E[R]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5.1537986484282941E-2"/>
                </c:manualLayout>
              </c:layout>
              <c:tx>
                <c:rich>
                  <a:bodyPr/>
                  <a:lstStyle/>
                  <a:p>
                    <a:fld id="{EC57971D-8F47-B64F-ABB7-B57DC3604E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B5E-430B-AAC9-D1BF902988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413F08-ABDF-D246-914A-4A9AF26A7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B5E-430B-AAC9-D1BF902988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B64FCFC-2D09-F24C-B9E4-3E1F0F12D4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B5E-430B-AAC9-D1BF9029887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BCBC19A-3F5A-ED46-8D78-5DD0C47F23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B5E-430B-AAC9-D1BF90298873}"/>
                </c:ext>
              </c:extLst>
            </c:dLbl>
            <c:dLbl>
              <c:idx val="4"/>
              <c:layout>
                <c:manualLayout>
                  <c:x val="-0.14652762615014173"/>
                  <c:y val="-2.8111628991427145E-2"/>
                </c:manualLayout>
              </c:layout>
              <c:tx>
                <c:rich>
                  <a:bodyPr/>
                  <a:lstStyle/>
                  <a:p>
                    <a:fld id="{7AF2FFAA-125F-E44C-B84C-A65BAD6033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B5E-430B-AAC9-D1BF90298873}"/>
                </c:ext>
              </c:extLst>
            </c:dLbl>
            <c:dLbl>
              <c:idx val="5"/>
              <c:layout>
                <c:manualLayout>
                  <c:x val="-7.4646149170827014E-2"/>
                  <c:y val="-7.9649615475710006E-2"/>
                </c:manualLayout>
              </c:layout>
              <c:tx>
                <c:rich>
                  <a:bodyPr/>
                  <a:lstStyle/>
                  <a:p>
                    <a:fld id="{60E4C9E3-E0E8-9A47-8022-4158FD0B1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2B5E-430B-AAC9-D1BF902988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'Plotting Markowitz'!$C$4:$C$9</c:f>
              <c:numCache>
                <c:formatCode>0.00%</c:formatCode>
                <c:ptCount val="6"/>
                <c:pt idx="0">
                  <c:v>4.4020336558348923E-2</c:v>
                </c:pt>
                <c:pt idx="1">
                  <c:v>8.4360678960516022E-2</c:v>
                </c:pt>
                <c:pt idx="2">
                  <c:v>6.3531939811924232E-2</c:v>
                </c:pt>
                <c:pt idx="3">
                  <c:v>9.0426014492104911E-2</c:v>
                </c:pt>
                <c:pt idx="4">
                  <c:v>4.4109017574638358E-2</c:v>
                </c:pt>
                <c:pt idx="5">
                  <c:v>4.5556784147455356E-2</c:v>
                </c:pt>
              </c:numCache>
            </c:numRef>
          </c:xVal>
          <c:yVal>
            <c:numRef>
              <c:f>'Plotting Markowitz'!$D$4:$D$9</c:f>
              <c:numCache>
                <c:formatCode>0.00%</c:formatCode>
                <c:ptCount val="6"/>
                <c:pt idx="0">
                  <c:v>8.0059016412121226E-3</c:v>
                </c:pt>
                <c:pt idx="1">
                  <c:v>1.1451661267061814E-2</c:v>
                </c:pt>
                <c:pt idx="2">
                  <c:v>8.0216584947964634E-3</c:v>
                </c:pt>
                <c:pt idx="3">
                  <c:v>8.9298086015243243E-3</c:v>
                </c:pt>
                <c:pt idx="4">
                  <c:v>8.3714600182081839E-3</c:v>
                </c:pt>
                <c:pt idx="5">
                  <c:v>8.3152928042824099E-3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'Plotting Markowitz'!$B$4:$B$9</c15:f>
                <c15:dlblRangeCache>
                  <c:ptCount val="6"/>
                  <c:pt idx="0">
                    <c:v>SPY</c:v>
                  </c:pt>
                  <c:pt idx="1">
                    <c:v>A</c:v>
                  </c:pt>
                  <c:pt idx="2">
                    <c:v>MMM</c:v>
                  </c:pt>
                  <c:pt idx="3">
                    <c:v>SLV</c:v>
                  </c:pt>
                  <c:pt idx="4">
                    <c:v>Optimal 4A</c:v>
                  </c:pt>
                  <c:pt idx="5">
                    <c:v>Optimal 3A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2B5E-430B-AAC9-D1BF90298873}"/>
            </c:ext>
          </c:extLst>
        </c:ser>
        <c:ser>
          <c:idx val="0"/>
          <c:order val="1"/>
          <c:tx>
            <c:strRef>
              <c:f>'Plotting Markowitz'!$C$13</c:f>
              <c:strCache>
                <c:ptCount val="1"/>
                <c:pt idx="0">
                  <c:v>CAL 3A</c:v>
                </c:pt>
              </c:strCache>
            </c:strRef>
          </c:tx>
          <c:spPr>
            <a:ln w="2222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  <a:round/>
              </a:ln>
              <a:effectLst/>
            </c:spPr>
          </c:marker>
          <c:xVal>
            <c:numRef>
              <c:f>'Plotting Markowitz'!$B$14:$B$19</c:f>
              <c:numCache>
                <c:formatCode>0%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</c:numCache>
            </c:numRef>
          </c:xVal>
          <c:yVal>
            <c:numRef>
              <c:f>'Plotting Markowitz'!$C$14:$C$19</c:f>
              <c:numCache>
                <c:formatCode>0.00%</c:formatCode>
                <c:ptCount val="6"/>
                <c:pt idx="0">
                  <c:v>8.3333333333333339E-4</c:v>
                </c:pt>
                <c:pt idx="1">
                  <c:v>4.1180074432230641E-3</c:v>
                </c:pt>
                <c:pt idx="2">
                  <c:v>7.4026815531127955E-3</c:v>
                </c:pt>
                <c:pt idx="3">
                  <c:v>1.0687355663002525E-2</c:v>
                </c:pt>
                <c:pt idx="4">
                  <c:v>1.3972029772892258E-2</c:v>
                </c:pt>
                <c:pt idx="5">
                  <c:v>1.7256703882781988E-2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B5E-430B-AAC9-D1BF90298873}"/>
            </c:ext>
          </c:extLst>
        </c:ser>
        <c:ser>
          <c:idx val="1"/>
          <c:order val="2"/>
          <c:tx>
            <c:strRef>
              <c:f>'Plotting Markowitz'!$D$13</c:f>
              <c:strCache>
                <c:ptCount val="1"/>
                <c:pt idx="0">
                  <c:v>CAL 4A</c:v>
                </c:pt>
              </c:strCache>
            </c:strRef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marker>
          <c:xVal>
            <c:numRef>
              <c:f>'Plotting Markowitz'!$B$14:$B$19</c:f>
              <c:numCache>
                <c:formatCode>0%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</c:numCache>
            </c:numRef>
          </c:xVal>
          <c:yVal>
            <c:numRef>
              <c:f>'Plotting Markowitz'!$D$14:$D$19</c:f>
              <c:numCache>
                <c:formatCode>0.00%</c:formatCode>
                <c:ptCount val="6"/>
                <c:pt idx="0">
                  <c:v>8.3333333333333339E-4</c:v>
                </c:pt>
                <c:pt idx="1">
                  <c:v>4.2512859876264525E-3</c:v>
                </c:pt>
                <c:pt idx="2">
                  <c:v>7.6692386419195714E-3</c:v>
                </c:pt>
                <c:pt idx="3">
                  <c:v>1.108719129621269E-2</c:v>
                </c:pt>
                <c:pt idx="4">
                  <c:v>1.4505143950505809E-2</c:v>
                </c:pt>
                <c:pt idx="5">
                  <c:v>1.7923096604798926E-2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B5E-430B-AAC9-D1BF9029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669568"/>
        <c:axId val="1828659488"/>
      </c:scatterChart>
      <c:valAx>
        <c:axId val="182866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</a:t>
                </a:r>
                <a:r>
                  <a:rPr lang="en-US" baseline="0"/>
                  <a:t> Deviation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59488"/>
        <c:crosses val="autoZero"/>
        <c:crossBetween val="midCat"/>
      </c:valAx>
      <c:valAx>
        <c:axId val="182865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6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844512</xdr:colOff>
      <xdr:row>1</xdr:row>
      <xdr:rowOff>0</xdr:rowOff>
    </xdr:from>
    <xdr:to>
      <xdr:col>12</xdr:col>
      <xdr:colOff>8282</xdr:colOff>
      <xdr:row>18</xdr:row>
      <xdr:rowOff>198783</xdr:rowOff>
    </xdr:to>
    <xdr:graphicFrame macro="">
      <xdr:nvGraphicFramePr>
        <xdr:cNvPr id="258" name="Chart 1">
          <a:extLst>
            <a:ext uri="{FF2B5EF4-FFF2-40B4-BE49-F238E27FC236}">
              <a16:creationId xmlns:a16="http://schemas.microsoft.com/office/drawing/2014/main" id="{890A8EC4-572A-209F-5348-58A3E5359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ethan/Downloads/Implementing%20Markowitz%20personal.xlsx" TargetMode="External"/><Relationship Id="rId1" Type="http://schemas.openxmlformats.org/officeDocument/2006/relationships/externalLinkPath" Target="file:///C:/Users/ethan/Downloads/Implementing%20Markowitz%20pers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riptions"/>
      <sheetName val="Monthly Return Data Input"/>
      <sheetName val="Summary Statistics"/>
      <sheetName val="Markowitz Model"/>
      <sheetName val="Optimal Ports"/>
    </sheetNames>
    <sheetDataSet>
      <sheetData sheetId="0"/>
      <sheetData sheetId="1">
        <row r="2">
          <cell r="B2">
            <v>-2.0766211039727599E-2</v>
          </cell>
          <cell r="C2">
            <v>6.2432280389197702E-2</v>
          </cell>
          <cell r="D2">
            <v>2.6359438647104001E-2</v>
          </cell>
          <cell r="E2" t="str">
            <v>-</v>
          </cell>
        </row>
        <row r="3">
          <cell r="B3">
            <v>3.6738892862074699E-2</v>
          </cell>
          <cell r="C3">
            <v>-1.9427200120754599E-2</v>
          </cell>
          <cell r="D3">
            <v>0.12231207205438401</v>
          </cell>
          <cell r="E3" t="str">
            <v>-</v>
          </cell>
        </row>
        <row r="4">
          <cell r="B4">
            <v>-6.14176259192191E-2</v>
          </cell>
          <cell r="C4">
            <v>9.3818149378847901E-2</v>
          </cell>
          <cell r="D4">
            <v>-0.14044631067794899</v>
          </cell>
          <cell r="E4" t="str">
            <v>-</v>
          </cell>
        </row>
        <row r="5">
          <cell r="B5">
            <v>-9.0814813521770104E-3</v>
          </cell>
          <cell r="C5">
            <v>-2.9413560664279799E-3</v>
          </cell>
          <cell r="D5">
            <v>-0.122462979182949</v>
          </cell>
          <cell r="E5" t="str">
            <v>-</v>
          </cell>
        </row>
        <row r="6">
          <cell r="B6">
            <v>-7.2455353808179801E-2</v>
          </cell>
          <cell r="C6">
            <v>-1.4561737469356699E-2</v>
          </cell>
          <cell r="D6">
            <v>-0.10314744348995999</v>
          </cell>
          <cell r="E6" t="str">
            <v>-</v>
          </cell>
        </row>
        <row r="7">
          <cell r="B7">
            <v>-7.9004275149407693E-2</v>
          </cell>
          <cell r="C7">
            <v>2.30079615262309E-2</v>
          </cell>
          <cell r="D7">
            <v>-0.20169120205087901</v>
          </cell>
          <cell r="E7" t="str">
            <v>-</v>
          </cell>
        </row>
        <row r="8">
          <cell r="B8">
            <v>4.8814333064943803E-3</v>
          </cell>
          <cell r="C8">
            <v>-6.9933442251832699E-3</v>
          </cell>
          <cell r="D8">
            <v>-0.28866541700799497</v>
          </cell>
          <cell r="E8" t="str">
            <v>-</v>
          </cell>
        </row>
        <row r="9">
          <cell r="B9">
            <v>-0.11002431825242801</v>
          </cell>
          <cell r="C9">
            <v>-0.115633690287957</v>
          </cell>
          <cell r="D9">
            <v>-2.7550228159693699E-2</v>
          </cell>
          <cell r="E9" t="str">
            <v>-</v>
          </cell>
        </row>
        <row r="10">
          <cell r="B10">
            <v>8.6448800333713993E-2</v>
          </cell>
          <cell r="C10">
            <v>0.15431391078877499</v>
          </cell>
          <cell r="D10">
            <v>5.2833089913123098E-2</v>
          </cell>
          <cell r="E10" t="str">
            <v>-</v>
          </cell>
        </row>
        <row r="11">
          <cell r="B11">
            <v>5.7069620704985898E-2</v>
          </cell>
          <cell r="C11">
            <v>2.2924838127924799E-2</v>
          </cell>
          <cell r="D11">
            <v>0.41163637382934198</v>
          </cell>
          <cell r="E11" t="str">
            <v>-</v>
          </cell>
        </row>
        <row r="12">
          <cell r="B12">
            <v>-6.0332571885028802E-2</v>
          </cell>
          <cell r="C12">
            <v>-4.5821856601269598E-2</v>
          </cell>
          <cell r="D12">
            <v>-7.4703707894495694E-2</v>
          </cell>
          <cell r="E12" t="str">
            <v>-</v>
          </cell>
        </row>
        <row r="13">
          <cell r="B13">
            <v>-2.7414692683044601E-2</v>
          </cell>
          <cell r="C13">
            <v>1.01383668234709E-2</v>
          </cell>
          <cell r="D13">
            <v>-8.2405593864846E-2</v>
          </cell>
          <cell r="E13" t="str">
            <v>-</v>
          </cell>
        </row>
        <row r="14">
          <cell r="B14">
            <v>-1.7003608256871701E-2</v>
          </cell>
          <cell r="C14">
            <v>6.5829691677976596E-3</v>
          </cell>
          <cell r="D14">
            <v>-0.199029225669975</v>
          </cell>
          <cell r="E14" t="str">
            <v>-</v>
          </cell>
        </row>
        <row r="15">
          <cell r="B15">
            <v>8.3575676843328194E-3</v>
          </cell>
          <cell r="C15">
            <v>4.2604916184918198E-2</v>
          </cell>
          <cell r="D15">
            <v>-3.78749876855922E-3</v>
          </cell>
          <cell r="E15" t="str">
            <v>-</v>
          </cell>
        </row>
        <row r="16">
          <cell r="B16">
            <v>8.1044107180032299E-2</v>
          </cell>
          <cell r="C16">
            <v>-3.06851201412645E-2</v>
          </cell>
          <cell r="D16">
            <v>0.21825090507189701</v>
          </cell>
          <cell r="E16" t="str">
            <v>-</v>
          </cell>
        </row>
        <row r="17">
          <cell r="B17">
            <v>5.0898709609522599E-2</v>
          </cell>
          <cell r="C17">
            <v>3.4115901254228001E-3</v>
          </cell>
          <cell r="D17">
            <v>0.13171030538870401</v>
          </cell>
          <cell r="E17" t="str">
            <v>-</v>
          </cell>
        </row>
        <row r="18">
          <cell r="B18">
            <v>1.1322214676852099E-2</v>
          </cell>
          <cell r="C18">
            <v>2.5270229177589001E-2</v>
          </cell>
          <cell r="D18">
            <v>7.8323211392748102E-2</v>
          </cell>
          <cell r="E18" t="str">
            <v>-</v>
          </cell>
        </row>
        <row r="19">
          <cell r="B19">
            <v>1.62237019585365E-2</v>
          </cell>
          <cell r="C19">
            <v>8.6990356603678695E-2</v>
          </cell>
          <cell r="D19">
            <v>0.11150892586269601</v>
          </cell>
          <cell r="E19" t="str">
            <v>-</v>
          </cell>
        </row>
        <row r="20">
          <cell r="B20">
            <v>1.7873203593487898E-2</v>
          </cell>
          <cell r="C20">
            <v>1.6190813521497E-2</v>
          </cell>
          <cell r="D20">
            <v>0.119190105527737</v>
          </cell>
          <cell r="E20" t="str">
            <v>-</v>
          </cell>
        </row>
        <row r="21">
          <cell r="B21">
            <v>-1.19443645855257E-2</v>
          </cell>
          <cell r="C21">
            <v>-2.5941177639769601E-2</v>
          </cell>
          <cell r="D21">
            <v>-9.0871786919276804E-2</v>
          </cell>
          <cell r="E21" t="str">
            <v>-</v>
          </cell>
        </row>
        <row r="22">
          <cell r="B22">
            <v>5.4961486635716601E-2</v>
          </cell>
          <cell r="C22">
            <v>0.14188421938623999</v>
          </cell>
          <cell r="D22">
            <v>0.12709184285016201</v>
          </cell>
          <cell r="E22" t="str">
            <v>-</v>
          </cell>
        </row>
        <row r="23">
          <cell r="B23">
            <v>7.1285040713728902E-3</v>
          </cell>
          <cell r="C23">
            <v>2.1559832841169199E-3</v>
          </cell>
          <cell r="D23">
            <v>0.13483162870886201</v>
          </cell>
          <cell r="E23" t="str">
            <v>-</v>
          </cell>
        </row>
        <row r="24">
          <cell r="B24">
            <v>5.0765540778892101E-2</v>
          </cell>
          <cell r="C24">
            <v>8.04015354121419E-2</v>
          </cell>
          <cell r="D24">
            <v>3.3946144231493697E-2</v>
          </cell>
          <cell r="E24" t="str">
            <v>-</v>
          </cell>
        </row>
        <row r="25">
          <cell r="B25">
            <v>1.7276386950755299E-2</v>
          </cell>
          <cell r="C25">
            <v>-6.9857547953894206E-2</v>
          </cell>
          <cell r="D25">
            <v>0.260601709084397</v>
          </cell>
          <cell r="E25" t="str">
            <v>-</v>
          </cell>
        </row>
        <row r="26">
          <cell r="B26">
            <v>1.22089737376105E-2</v>
          </cell>
          <cell r="C26">
            <v>-1.35287333145139E-2</v>
          </cell>
          <cell r="D26">
            <v>-7.2435908237940397E-2</v>
          </cell>
          <cell r="E26" t="str">
            <v>-</v>
          </cell>
        </row>
        <row r="27">
          <cell r="B27">
            <v>-1.6358919617866799E-2</v>
          </cell>
          <cell r="C27">
            <v>5.4070756877221002E-2</v>
          </cell>
          <cell r="D27">
            <v>-7.4875636606881193E-2</v>
          </cell>
          <cell r="E27" t="str">
            <v>-</v>
          </cell>
        </row>
        <row r="28">
          <cell r="B28">
            <v>-1.67907519603482E-2</v>
          </cell>
          <cell r="C28">
            <v>5.63088396937532E-2</v>
          </cell>
          <cell r="D28">
            <v>-0.14606411395799099</v>
          </cell>
          <cell r="E28" t="str">
            <v>-</v>
          </cell>
        </row>
        <row r="29">
          <cell r="B29">
            <v>1.20834500973541E-2</v>
          </cell>
          <cell r="C29">
            <v>-2.2201939742235801E-2</v>
          </cell>
          <cell r="D29">
            <v>-4.8500323483689399E-2</v>
          </cell>
          <cell r="E29" t="str">
            <v>-</v>
          </cell>
        </row>
        <row r="30">
          <cell r="B30">
            <v>1.7988998771432601E-2</v>
          </cell>
          <cell r="C30">
            <v>6.9081650288652194E-2</v>
          </cell>
          <cell r="D30">
            <v>0.139299410080227</v>
          </cell>
          <cell r="E30" t="str">
            <v>-</v>
          </cell>
        </row>
        <row r="31">
          <cell r="B31">
            <v>-3.4290519520026298E-2</v>
          </cell>
          <cell r="C31">
            <v>-8.4990311580471198E-2</v>
          </cell>
          <cell r="D31">
            <v>-0.18681715278480401</v>
          </cell>
          <cell r="E31" t="str">
            <v>-</v>
          </cell>
        </row>
        <row r="32">
          <cell r="B32">
            <v>2.2873503233691301E-3</v>
          </cell>
          <cell r="C32">
            <v>0</v>
          </cell>
          <cell r="D32">
            <v>-0.13901709677559601</v>
          </cell>
          <cell r="E32" t="str">
            <v>-</v>
          </cell>
        </row>
        <row r="33">
          <cell r="B33">
            <v>9.3638755268388198E-3</v>
          </cell>
          <cell r="C33">
            <v>-2.4556334973889E-2</v>
          </cell>
          <cell r="D33">
            <v>5.2195359645930597E-2</v>
          </cell>
          <cell r="E33" t="str">
            <v>-</v>
          </cell>
        </row>
        <row r="34">
          <cell r="B34">
            <v>1.4014243690939799E-2</v>
          </cell>
          <cell r="C34">
            <v>-3.0010848584279701E-2</v>
          </cell>
          <cell r="D34">
            <v>0.16179830799290201</v>
          </cell>
          <cell r="E34" t="str">
            <v>-</v>
          </cell>
        </row>
        <row r="35">
          <cell r="B35">
            <v>3.8594936295970501E-2</v>
          </cell>
          <cell r="C35">
            <v>2.6040827100938201E-2</v>
          </cell>
          <cell r="D35">
            <v>-8.65917267947348E-2</v>
          </cell>
          <cell r="E35" t="str">
            <v>-</v>
          </cell>
        </row>
        <row r="36">
          <cell r="B36">
            <v>3.24582128432052E-2</v>
          </cell>
          <cell r="C36">
            <v>3.5719666915328997E-2</v>
          </cell>
          <cell r="D36">
            <v>5.2861316276944501E-2</v>
          </cell>
          <cell r="E36" t="str">
            <v>-</v>
          </cell>
        </row>
        <row r="37">
          <cell r="B37">
            <v>-2.5290467442294001E-2</v>
          </cell>
          <cell r="C37">
            <v>2.7903123362553999E-2</v>
          </cell>
          <cell r="D37">
            <v>-8.2572709396685304E-2</v>
          </cell>
          <cell r="E37" t="str">
            <v>-</v>
          </cell>
        </row>
        <row r="38">
          <cell r="B38">
            <v>1.8903346132113301E-2</v>
          </cell>
          <cell r="C38">
            <v>-4.9787405697830902E-3</v>
          </cell>
          <cell r="D38">
            <v>8.54813860562251E-2</v>
          </cell>
          <cell r="E38" t="str">
            <v>-</v>
          </cell>
        </row>
        <row r="39">
          <cell r="B39">
            <v>-1.9117655560289701E-2</v>
          </cell>
          <cell r="C39">
            <v>2.59742017770879E-2</v>
          </cell>
          <cell r="D39">
            <v>-7.4999779351127796E-2</v>
          </cell>
          <cell r="E39" t="str">
            <v>-</v>
          </cell>
        </row>
        <row r="40">
          <cell r="B40">
            <v>-2.01085820832635E-2</v>
          </cell>
          <cell r="C40">
            <v>-0.10759715026220899</v>
          </cell>
          <cell r="D40">
            <v>-6.5315207218879706E-2</v>
          </cell>
          <cell r="E40" t="str">
            <v>-</v>
          </cell>
        </row>
        <row r="41">
          <cell r="B41">
            <v>2.9952046631208699E-2</v>
          </cell>
          <cell r="C41">
            <v>2.35450280451954E-3</v>
          </cell>
          <cell r="D41">
            <v>0.157108113733995</v>
          </cell>
          <cell r="E41" t="str">
            <v>-</v>
          </cell>
        </row>
        <row r="42">
          <cell r="B42">
            <v>-1.42714179867776E-4</v>
          </cell>
          <cell r="C42">
            <v>-5.1579666955271997E-2</v>
          </cell>
          <cell r="D42">
            <v>-4.1232409919398201E-2</v>
          </cell>
          <cell r="E42" t="str">
            <v>-</v>
          </cell>
        </row>
        <row r="43">
          <cell r="B43">
            <v>3.5968286903618397E-2</v>
          </cell>
          <cell r="C43">
            <v>3.7344756117698698E-2</v>
          </cell>
          <cell r="D43">
            <v>0.13987752625196001</v>
          </cell>
          <cell r="E43" t="str">
            <v>-</v>
          </cell>
        </row>
        <row r="44">
          <cell r="B44">
            <v>-1.12221045986001E-2</v>
          </cell>
          <cell r="C44">
            <v>-5.1333705353451803E-2</v>
          </cell>
          <cell r="D44">
            <v>0.225610772749716</v>
          </cell>
          <cell r="E44" t="str">
            <v>-</v>
          </cell>
        </row>
        <row r="45">
          <cell r="B45">
            <v>6.9490243167336097E-3</v>
          </cell>
          <cell r="C45">
            <v>3.7140394276428602E-2</v>
          </cell>
          <cell r="D45">
            <v>1.83453171854739E-2</v>
          </cell>
          <cell r="E45" t="str">
            <v>-</v>
          </cell>
        </row>
        <row r="46">
          <cell r="B46">
            <v>-1.7740779932313499E-2</v>
          </cell>
          <cell r="C46">
            <v>3.5713913571638903E-2</v>
          </cell>
          <cell r="D46">
            <v>-2.2595543391412901E-2</v>
          </cell>
          <cell r="E46" t="str">
            <v>-</v>
          </cell>
        </row>
        <row r="47">
          <cell r="B47">
            <v>3.5186096519093303E-2</v>
          </cell>
          <cell r="C47">
            <v>3.2903316467798503E-2</v>
          </cell>
          <cell r="D47">
            <v>0.114027421104445</v>
          </cell>
          <cell r="E47" t="str">
            <v>-</v>
          </cell>
        </row>
        <row r="48">
          <cell r="B48">
            <v>-9.5234931719645499E-4</v>
          </cell>
          <cell r="C48">
            <v>-7.2244025380663298E-3</v>
          </cell>
          <cell r="D48">
            <v>-6.6460869381131604E-2</v>
          </cell>
          <cell r="E48" t="str">
            <v>-</v>
          </cell>
        </row>
        <row r="49">
          <cell r="B49">
            <v>2.5466771341108099E-2</v>
          </cell>
          <cell r="C49">
            <v>-6.1290144599521597E-2</v>
          </cell>
          <cell r="D49">
            <v>1.8624321472179298E-2</v>
          </cell>
          <cell r="E49" t="str">
            <v>-</v>
          </cell>
        </row>
        <row r="50">
          <cell r="B50">
            <v>4.5315772835619002E-4</v>
          </cell>
          <cell r="C50">
            <v>1.15460565021557E-2</v>
          </cell>
          <cell r="D50">
            <v>6.1633340735338403E-2</v>
          </cell>
          <cell r="E50" t="str">
            <v>-</v>
          </cell>
        </row>
        <row r="51">
          <cell r="B51">
            <v>1.10958104088896E-2</v>
          </cell>
          <cell r="C51">
            <v>3.50407256388598E-2</v>
          </cell>
          <cell r="D51">
            <v>4.3055246118837799E-2</v>
          </cell>
          <cell r="E51" t="str">
            <v>-</v>
          </cell>
        </row>
        <row r="52">
          <cell r="B52">
            <v>1.2155652917844199E-2</v>
          </cell>
          <cell r="C52">
            <v>0.12868339437908199</v>
          </cell>
          <cell r="D52">
            <v>2.3169267279376599E-2</v>
          </cell>
          <cell r="E52" t="str">
            <v>-</v>
          </cell>
        </row>
        <row r="53">
          <cell r="B53">
            <v>-3.09169165382032E-2</v>
          </cell>
          <cell r="C53">
            <v>-2.0718906424124901E-2</v>
          </cell>
          <cell r="D53">
            <v>-9.1879086044305003E-2</v>
          </cell>
          <cell r="E53">
            <v>-8.5722559492787703E-2</v>
          </cell>
        </row>
        <row r="54">
          <cell r="B54">
            <v>8.6596504595970499E-5</v>
          </cell>
          <cell r="C54">
            <v>-2.9398320187553499E-2</v>
          </cell>
          <cell r="D54">
            <v>-9.5442858364914798E-2</v>
          </cell>
          <cell r="E54">
            <v>-0.11791259818246</v>
          </cell>
        </row>
        <row r="55">
          <cell r="B55">
            <v>5.0858788034533501E-3</v>
          </cell>
          <cell r="C55">
            <v>-0.12838981439791899</v>
          </cell>
          <cell r="D55">
            <v>-9.8859133687666606E-2</v>
          </cell>
          <cell r="E55">
            <v>2.4777809893213199E-2</v>
          </cell>
        </row>
        <row r="56">
          <cell r="B56">
            <v>2.1274193115026398E-2</v>
          </cell>
          <cell r="C56">
            <v>1.8466342827047299E-2</v>
          </cell>
          <cell r="D56">
            <v>0.13080168776371301</v>
          </cell>
          <cell r="E56">
            <v>0.13079281958010799</v>
          </cell>
        </row>
        <row r="57">
          <cell r="B57">
            <v>2.45662979677823E-2</v>
          </cell>
          <cell r="C57">
            <v>4.4676423163026301E-2</v>
          </cell>
          <cell r="D57">
            <v>1.64797941120189E-2</v>
          </cell>
          <cell r="E57">
            <v>-0.112875718903682</v>
          </cell>
        </row>
        <row r="58">
          <cell r="B58">
            <v>3.15080035853956E-2</v>
          </cell>
          <cell r="C58">
            <v>5.9393102546449798E-2</v>
          </cell>
          <cell r="D58">
            <v>8.9018245596940396E-2</v>
          </cell>
          <cell r="E58">
            <v>7.1347429934795994E-2</v>
          </cell>
        </row>
        <row r="59">
          <cell r="B59">
            <v>1.6466656343095999E-2</v>
          </cell>
          <cell r="C59">
            <v>3.3231663505970399E-2</v>
          </cell>
          <cell r="D59">
            <v>-0.105618198903002</v>
          </cell>
          <cell r="E59">
            <v>0.13857196051284501</v>
          </cell>
        </row>
        <row r="60">
          <cell r="B60">
            <v>1.26157828146705E-2</v>
          </cell>
          <cell r="C60">
            <v>-3.7895913218105398E-2</v>
          </cell>
          <cell r="D60">
            <v>0.161656995533868</v>
          </cell>
          <cell r="E60">
            <v>-7.9037804910521398E-2</v>
          </cell>
        </row>
        <row r="61">
          <cell r="B61">
            <v>1.4059043023178E-2</v>
          </cell>
          <cell r="C61">
            <v>-4.6580762482871699E-2</v>
          </cell>
          <cell r="D61">
            <v>-8.1778923967554998E-2</v>
          </cell>
          <cell r="E61">
            <v>5.06840374168889E-2</v>
          </cell>
        </row>
        <row r="62">
          <cell r="B62">
            <v>-2.1846175991944401E-2</v>
          </cell>
          <cell r="C62">
            <v>-2.9607124536035201E-3</v>
          </cell>
          <cell r="D62">
            <v>-7.8130180389516194E-3</v>
          </cell>
          <cell r="E62">
            <v>4.5057725308912201E-2</v>
          </cell>
        </row>
        <row r="63">
          <cell r="B63">
            <v>9.9799829392064297E-3</v>
          </cell>
          <cell r="C63">
            <v>3.82303336486449E-2</v>
          </cell>
          <cell r="D63">
            <v>6.1102849908511302E-2</v>
          </cell>
          <cell r="E63">
            <v>-5.4725646972656201E-2</v>
          </cell>
        </row>
        <row r="64">
          <cell r="B64">
            <v>4.3290690426759801E-2</v>
          </cell>
          <cell r="C64">
            <v>8.2951060058988696E-2</v>
          </cell>
          <cell r="D64">
            <v>2.01837776836651E-2</v>
          </cell>
          <cell r="E64">
            <v>-1.2732323294730699E-3</v>
          </cell>
        </row>
        <row r="65">
          <cell r="B65">
            <v>3.2549228707361703E-2</v>
          </cell>
          <cell r="C65">
            <v>6.2704661346997301E-2</v>
          </cell>
          <cell r="D65">
            <v>0.11056175886019</v>
          </cell>
          <cell r="E65">
            <v>3.5995752198010301E-3</v>
          </cell>
        </row>
        <row r="66">
          <cell r="B66">
            <v>-1.7816322547885E-2</v>
          </cell>
          <cell r="C66">
            <v>-7.7744904386296597E-3</v>
          </cell>
          <cell r="D66">
            <v>7.0732764009464599E-3</v>
          </cell>
          <cell r="E66">
            <v>-7.7187473923246999E-2</v>
          </cell>
        </row>
        <row r="67">
          <cell r="B67">
            <v>-3.1981878361988299E-2</v>
          </cell>
          <cell r="C67">
            <v>2.4542086914626199E-2</v>
          </cell>
          <cell r="D67">
            <v>-7.5439757500955799E-3</v>
          </cell>
          <cell r="E67">
            <v>3.6599161971268702E-2</v>
          </cell>
        </row>
        <row r="68">
          <cell r="B68">
            <v>1.28635720188579E-2</v>
          </cell>
          <cell r="C68">
            <v>2.32791596837882E-2</v>
          </cell>
          <cell r="D68">
            <v>-4.5871384971456597E-2</v>
          </cell>
          <cell r="E68">
            <v>-6.28026791081856E-2</v>
          </cell>
        </row>
        <row r="69">
          <cell r="B69">
            <v>3.5794008178600803E-2</v>
          </cell>
          <cell r="C69">
            <v>3.40760561841498E-2</v>
          </cell>
          <cell r="D69">
            <v>1.31863949464135E-2</v>
          </cell>
          <cell r="E69">
            <v>0.138106315051926</v>
          </cell>
        </row>
        <row r="70">
          <cell r="B70">
            <v>1.4822338223554801E-2</v>
          </cell>
          <cell r="C70">
            <v>-7.7153598816412997E-2</v>
          </cell>
          <cell r="D70">
            <v>-8.1313873341437603E-4</v>
          </cell>
          <cell r="E70">
            <v>5.1629435188033798E-2</v>
          </cell>
        </row>
        <row r="71">
          <cell r="B71">
            <v>-4.4043417379415799E-2</v>
          </cell>
          <cell r="C71">
            <v>-3.5896240708762302E-2</v>
          </cell>
          <cell r="D71">
            <v>2.6594220615833199E-2</v>
          </cell>
          <cell r="E71">
            <v>-3.2033429606182301E-2</v>
          </cell>
        </row>
        <row r="72">
          <cell r="B72">
            <v>-8.62850856129793E-3</v>
          </cell>
          <cell r="C72">
            <v>1.8716089933814399E-2</v>
          </cell>
          <cell r="D72">
            <v>-2.8813405895552001E-2</v>
          </cell>
          <cell r="E72">
            <v>5.7338126130086903E-2</v>
          </cell>
        </row>
        <row r="73">
          <cell r="B73">
            <v>-6.1163432277769901E-2</v>
          </cell>
          <cell r="C73">
            <v>-5.5384343251558499E-2</v>
          </cell>
          <cell r="D73">
            <v>-7.8388107768811402E-2</v>
          </cell>
          <cell r="E73">
            <v>0.14431525539583301</v>
          </cell>
        </row>
        <row r="74">
          <cell r="B74">
            <v>-3.4761192737288199E-2</v>
          </cell>
          <cell r="C74">
            <v>-1.5693305696510298E-2</v>
          </cell>
          <cell r="D74">
            <v>-9.5983875832779605E-2</v>
          </cell>
          <cell r="E74">
            <v>0.16946119274949001</v>
          </cell>
        </row>
        <row r="75">
          <cell r="B75">
            <v>-5.9596233978174203E-3</v>
          </cell>
          <cell r="C75">
            <v>1.5927691674722001E-2</v>
          </cell>
          <cell r="D75">
            <v>-2.5481558990424799E-2</v>
          </cell>
          <cell r="E75">
            <v>-0.133567164897026</v>
          </cell>
        </row>
        <row r="76">
          <cell r="B76">
            <v>4.7546697641229103E-2</v>
          </cell>
          <cell r="C76">
            <v>-2.8426875296328601E-2</v>
          </cell>
          <cell r="D76">
            <v>1.2738382485305099E-2</v>
          </cell>
          <cell r="E76">
            <v>-1.8836984094720701E-2</v>
          </cell>
        </row>
        <row r="77">
          <cell r="B77">
            <v>1.0674181704068499E-2</v>
          </cell>
          <cell r="C77">
            <v>8.5826548135890003E-3</v>
          </cell>
          <cell r="D77">
            <v>0.23767063128620999</v>
          </cell>
          <cell r="E77">
            <v>-2.8109437554578701E-3</v>
          </cell>
        </row>
        <row r="78">
          <cell r="B78">
            <v>-8.5962384826314506E-2</v>
          </cell>
          <cell r="C78">
            <v>-9.6934963741589997E-2</v>
          </cell>
          <cell r="D78">
            <v>-4.9478717662466698E-2</v>
          </cell>
          <cell r="E78">
            <v>3.53865615491427E-2</v>
          </cell>
        </row>
        <row r="79">
          <cell r="B79">
            <v>-9.8593711853027805E-3</v>
          </cell>
          <cell r="C79">
            <v>1.1495223512393699E-2</v>
          </cell>
          <cell r="D79">
            <v>1.4631499229165601E-2</v>
          </cell>
          <cell r="E79">
            <v>1.54666159307304E-2</v>
          </cell>
        </row>
        <row r="80">
          <cell r="B80">
            <v>1.2190464669121499E-2</v>
          </cell>
          <cell r="C80">
            <v>1.7190543357461101E-2</v>
          </cell>
          <cell r="D80">
            <v>-3.6051347260510097E-2</v>
          </cell>
          <cell r="E80">
            <v>-0.237307509306349</v>
          </cell>
        </row>
        <row r="81">
          <cell r="B81">
            <v>-9.0791433543792197E-2</v>
          </cell>
          <cell r="C81">
            <v>-3.92133366349776E-2</v>
          </cell>
          <cell r="D81">
            <v>-0.14672057530173599</v>
          </cell>
          <cell r="E81">
            <v>-0.113687323642471</v>
          </cell>
        </row>
        <row r="82">
          <cell r="B82">
            <v>-0.169424524017771</v>
          </cell>
          <cell r="C82">
            <v>-5.8703048287048802E-2</v>
          </cell>
          <cell r="D82">
            <v>-0.25185435870805101</v>
          </cell>
          <cell r="E82">
            <v>-0.19156121389779501</v>
          </cell>
        </row>
        <row r="83">
          <cell r="B83">
            <v>-7.4849042338709704E-2</v>
          </cell>
          <cell r="C83">
            <v>4.0902240972654297E-2</v>
          </cell>
          <cell r="D83">
            <v>-0.151419013508969</v>
          </cell>
          <cell r="E83">
            <v>6.7849647568558602E-2</v>
          </cell>
        </row>
        <row r="84">
          <cell r="B84">
            <v>7.8215766334994701E-3</v>
          </cell>
          <cell r="C84">
            <v>-0.13332564313167899</v>
          </cell>
          <cell r="D84">
            <v>-0.16994178793018999</v>
          </cell>
          <cell r="E84">
            <v>9.4819189680702701E-2</v>
          </cell>
        </row>
        <row r="85">
          <cell r="B85">
            <v>-8.5657343058054294E-2</v>
          </cell>
          <cell r="C85">
            <v>-6.5172430410236598E-2</v>
          </cell>
          <cell r="D85">
            <v>0.15674973820622301</v>
          </cell>
          <cell r="E85">
            <v>0.117857202765894</v>
          </cell>
        </row>
        <row r="86">
          <cell r="B86">
            <v>-0.109931197620199</v>
          </cell>
          <cell r="C86">
            <v>-0.154861153324477</v>
          </cell>
          <cell r="D86">
            <v>-0.23285379086990801</v>
          </cell>
          <cell r="E86">
            <v>2.8753965136958801E-2</v>
          </cell>
        </row>
        <row r="87">
          <cell r="B87">
            <v>8.5404461995322895E-2</v>
          </cell>
          <cell r="C87">
            <v>0.105599519916466</v>
          </cell>
          <cell r="D87">
            <v>0.108147098281906</v>
          </cell>
          <cell r="E87">
            <v>-6.9875894245515803E-3</v>
          </cell>
        </row>
        <row r="88">
          <cell r="B88">
            <v>9.3925079148263299E-2</v>
          </cell>
          <cell r="C88">
            <v>0.15848737376272101</v>
          </cell>
          <cell r="D88">
            <v>0.18802833169081201</v>
          </cell>
          <cell r="E88">
            <v>-4.5347922238931998E-2</v>
          </cell>
        </row>
        <row r="89">
          <cell r="B89">
            <v>5.30814463851665E-2</v>
          </cell>
          <cell r="C89">
            <v>-8.6807093725863593E-3</v>
          </cell>
          <cell r="D89">
            <v>-1.64280125967275E-3</v>
          </cell>
          <cell r="E89">
            <v>0.26699428490555399</v>
          </cell>
        </row>
        <row r="90">
          <cell r="B90">
            <v>1.9582726560996E-4</v>
          </cell>
          <cell r="C90">
            <v>6.1717390387173901E-2</v>
          </cell>
          <cell r="D90">
            <v>0.114097421439302</v>
          </cell>
          <cell r="E90">
            <v>-0.135100201455219</v>
          </cell>
        </row>
        <row r="91">
          <cell r="B91">
            <v>7.4141727147784206E-2</v>
          </cell>
          <cell r="C91">
            <v>0.17337755873598601</v>
          </cell>
          <cell r="D91">
            <v>0.14327938116496899</v>
          </cell>
          <cell r="E91">
            <v>2.39162699616755E-2</v>
          </cell>
        </row>
        <row r="92">
          <cell r="B92">
            <v>3.35601888685442E-2</v>
          </cell>
          <cell r="C92">
            <v>2.2404779292377601E-2</v>
          </cell>
          <cell r="D92">
            <v>0.105942828153249</v>
          </cell>
          <cell r="E92">
            <v>6.7153291175358995E-2</v>
          </cell>
        </row>
        <row r="93">
          <cell r="B93">
            <v>3.5723345723119602E-2</v>
          </cell>
          <cell r="C93">
            <v>3.1052976068430199E-2</v>
          </cell>
          <cell r="D93">
            <v>8.3723245372449698E-2</v>
          </cell>
          <cell r="E93">
            <v>0.120382988302617</v>
          </cell>
        </row>
        <row r="94">
          <cell r="B94">
            <v>-1.9762000526814202E-2</v>
          </cell>
          <cell r="C94">
            <v>-3.1163382575107902E-3</v>
          </cell>
          <cell r="D94">
            <v>-0.111031547362023</v>
          </cell>
          <cell r="E94">
            <v>-1.89254872909209E-2</v>
          </cell>
        </row>
        <row r="95">
          <cell r="B95">
            <v>5.7364061453727598E-2</v>
          </cell>
          <cell r="C95">
            <v>5.2602538552194697E-2</v>
          </cell>
          <cell r="D95">
            <v>0.16895723707834401</v>
          </cell>
          <cell r="E95">
            <v>0.12943372515283699</v>
          </cell>
        </row>
        <row r="96">
          <cell r="B96">
            <v>1.7770570919338299E-2</v>
          </cell>
          <cell r="C96">
            <v>7.4492144535510701E-2</v>
          </cell>
          <cell r="D96">
            <v>7.4343343018920593E-2</v>
          </cell>
          <cell r="E96">
            <v>-8.8705164564257005E-2</v>
          </cell>
        </row>
        <row r="97">
          <cell r="B97">
            <v>-3.6974245692262202E-2</v>
          </cell>
          <cell r="C97">
            <v>-2.6369595077164298E-2</v>
          </cell>
          <cell r="D97">
            <v>-9.7844090662813604E-2</v>
          </cell>
          <cell r="E97">
            <v>-3.8694151243743397E-2</v>
          </cell>
        </row>
        <row r="98">
          <cell r="B98">
            <v>2.8513689046546099E-2</v>
          </cell>
          <cell r="C98">
            <v>-4.2244108881419598E-3</v>
          </cell>
          <cell r="D98">
            <v>0.122369028832834</v>
          </cell>
          <cell r="E98">
            <v>1.06918289542488E-2</v>
          </cell>
        </row>
        <row r="99">
          <cell r="B99">
            <v>5.8796425545497397E-2</v>
          </cell>
          <cell r="C99">
            <v>4.9517161870940199E-2</v>
          </cell>
          <cell r="D99">
            <v>9.3134335876228394E-2</v>
          </cell>
          <cell r="E99">
            <v>6.6583678602610205E-2</v>
          </cell>
        </row>
        <row r="100">
          <cell r="B100">
            <v>1.4759230482013001E-2</v>
          </cell>
          <cell r="C100">
            <v>6.1026673767690998E-2</v>
          </cell>
          <cell r="D100">
            <v>5.4376308740259803E-2</v>
          </cell>
          <cell r="E100">
            <v>6.5344275327676699E-2</v>
          </cell>
        </row>
        <row r="101">
          <cell r="B101">
            <v>-8.1975842073190502E-2</v>
          </cell>
          <cell r="C101">
            <v>-0.10556010133283</v>
          </cell>
          <cell r="D101">
            <v>-0.107556599860731</v>
          </cell>
          <cell r="E101">
            <v>-1.25958126699548E-2</v>
          </cell>
        </row>
        <row r="102">
          <cell r="B102">
            <v>-5.3882442239838499E-2</v>
          </cell>
          <cell r="C102">
            <v>2.22818754683995E-3</v>
          </cell>
          <cell r="D102">
            <v>-0.121446048720877</v>
          </cell>
          <cell r="E102">
            <v>9.9832718231935794E-3</v>
          </cell>
        </row>
        <row r="103">
          <cell r="B103">
            <v>6.8777849574635203E-2</v>
          </cell>
          <cell r="C103">
            <v>8.2922033558172806E-2</v>
          </cell>
          <cell r="D103">
            <v>-1.7587164129693099E-2</v>
          </cell>
          <cell r="E103">
            <v>-3.4596331270757202E-2</v>
          </cell>
        </row>
        <row r="104">
          <cell r="B104">
            <v>-4.7449183632604801E-2</v>
          </cell>
          <cell r="C104">
            <v>-8.1716154946596301E-2</v>
          </cell>
          <cell r="D104">
            <v>-3.4371733999161401E-2</v>
          </cell>
          <cell r="E104">
            <v>7.6791830906056693E-2</v>
          </cell>
        </row>
        <row r="105">
          <cell r="B105">
            <v>8.7551103051135601E-2</v>
          </cell>
          <cell r="C105">
            <v>0.110817948766429</v>
          </cell>
          <cell r="D105">
            <v>0.23730061041109601</v>
          </cell>
          <cell r="E105">
            <v>0.12572631391431499</v>
          </cell>
        </row>
        <row r="106">
          <cell r="B106">
            <v>3.6855994035540601E-2</v>
          </cell>
          <cell r="C106">
            <v>-2.8716453665433701E-2</v>
          </cell>
          <cell r="D106">
            <v>4.2852752561702602E-2</v>
          </cell>
          <cell r="E106">
            <v>0.13420932341750699</v>
          </cell>
        </row>
        <row r="107">
          <cell r="B107">
            <v>-2.2902497465766601E-3</v>
          </cell>
          <cell r="C107">
            <v>-2.8498104500344098E-3</v>
          </cell>
          <cell r="D107">
            <v>6.3220425445304996E-3</v>
          </cell>
          <cell r="E107">
            <v>0.135291702417945</v>
          </cell>
        </row>
        <row r="108">
          <cell r="B108">
            <v>6.53000403471551E-2</v>
          </cell>
          <cell r="C108">
            <v>3.4070078838307302E-2</v>
          </cell>
          <cell r="D108">
            <v>0.18303827843458201</v>
          </cell>
          <cell r="E108">
            <v>9.9854217120636204E-2</v>
          </cell>
        </row>
        <row r="109">
          <cell r="B109">
            <v>2.2645574359139199E-2</v>
          </cell>
          <cell r="C109">
            <v>1.8771935017010799E-2</v>
          </cell>
          <cell r="D109">
            <v>9.6545817899349497E-3</v>
          </cell>
          <cell r="E109">
            <v>-9.2445357432579894E-2</v>
          </cell>
        </row>
        <row r="110">
          <cell r="B110">
            <v>3.1956563728093398E-2</v>
          </cell>
          <cell r="C110">
            <v>4.9021860072651698E-2</v>
          </cell>
          <cell r="D110">
            <v>5.9767546497049304E-3</v>
          </cell>
          <cell r="E110">
            <v>0.208835390586569</v>
          </cell>
        </row>
        <row r="111">
          <cell r="B111">
            <v>-1.0473129391664899E-3</v>
          </cell>
          <cell r="C111">
            <v>1.9867067270266499E-2</v>
          </cell>
          <cell r="D111">
            <v>6.4163466301989394E-2</v>
          </cell>
          <cell r="E111">
            <v>0.110540615522304</v>
          </cell>
        </row>
        <row r="112">
          <cell r="B112">
            <v>2.8495380666536001E-2</v>
          </cell>
          <cell r="C112">
            <v>3.9678983432322998E-2</v>
          </cell>
          <cell r="D112">
            <v>0.114560306307711</v>
          </cell>
          <cell r="E112">
            <v>0.27495242002959802</v>
          </cell>
        </row>
        <row r="113">
          <cell r="B113">
            <v>-1.3500952895223199E-2</v>
          </cell>
          <cell r="C113">
            <v>-2.91122513688995E-2</v>
          </cell>
          <cell r="D113">
            <v>-8.0169773265426102E-4</v>
          </cell>
          <cell r="E113">
            <v>-0.19795226925252399</v>
          </cell>
        </row>
        <row r="114">
          <cell r="B114">
            <v>-1.8257461652479299E-2</v>
          </cell>
          <cell r="C114">
            <v>1.0903478553046001E-2</v>
          </cell>
          <cell r="D114">
            <v>2.4864565843685502E-2</v>
          </cell>
          <cell r="E114">
            <v>-9.9999959418112599E-2</v>
          </cell>
        </row>
        <row r="115">
          <cell r="B115">
            <v>-2.1474425306666201E-2</v>
          </cell>
          <cell r="C115">
            <v>-8.1286111440748501E-2</v>
          </cell>
          <cell r="D115">
            <v>-0.17511246342824599</v>
          </cell>
          <cell r="E115">
            <v>0.148049595122418</v>
          </cell>
        </row>
        <row r="116">
          <cell r="B116">
            <v>-5.6791107952328897E-2</v>
          </cell>
          <cell r="C116">
            <v>-4.7739260810346303E-2</v>
          </cell>
          <cell r="D116">
            <v>-0.12547421411370499</v>
          </cell>
          <cell r="E116">
            <v>4.1184101715838098E-2</v>
          </cell>
        </row>
        <row r="117">
          <cell r="B117">
            <v>-7.1761988080896497E-2</v>
          </cell>
          <cell r="C117">
            <v>-0.129019219112676</v>
          </cell>
          <cell r="D117">
            <v>-0.15242755329955299</v>
          </cell>
          <cell r="E117">
            <v>-0.285290499329245</v>
          </cell>
        </row>
        <row r="118">
          <cell r="B118">
            <v>0.10772303843744099</v>
          </cell>
          <cell r="C118">
            <v>0.10071044635134201</v>
          </cell>
          <cell r="D118">
            <v>0.186239688645399</v>
          </cell>
          <cell r="E118">
            <v>0.15669314435165499</v>
          </cell>
        </row>
        <row r="119">
          <cell r="B119">
            <v>-5.0587151070113903E-3</v>
          </cell>
          <cell r="C119">
            <v>2.5563201049005699E-2</v>
          </cell>
          <cell r="D119">
            <v>1.15999741893551E-2</v>
          </cell>
          <cell r="E119">
            <v>-4.30621616580701E-2</v>
          </cell>
        </row>
        <row r="120">
          <cell r="B120">
            <v>8.5327636666361305E-3</v>
          </cell>
          <cell r="C120">
            <v>1.5640025925021801E-2</v>
          </cell>
          <cell r="D120">
            <v>-6.8533314338719301E-2</v>
          </cell>
          <cell r="E120">
            <v>-0.15812498331069899</v>
          </cell>
        </row>
        <row r="121">
          <cell r="B121">
            <v>4.3583062704985402E-2</v>
          </cell>
          <cell r="C121">
            <v>6.0932730871266202E-2</v>
          </cell>
          <cell r="D121">
            <v>0.215860050924255</v>
          </cell>
          <cell r="E121">
            <v>0.19821819374088001</v>
          </cell>
        </row>
        <row r="122">
          <cell r="B122">
            <v>4.0589463768117201E-2</v>
          </cell>
          <cell r="C122">
            <v>1.02637647604953E-2</v>
          </cell>
          <cell r="D122">
            <v>2.7078157956533799E-2</v>
          </cell>
          <cell r="E122">
            <v>3.9343262261156003E-2</v>
          </cell>
        </row>
        <row r="123">
          <cell r="B123">
            <v>3.1332314531441897E-2</v>
          </cell>
          <cell r="C123">
            <v>2.5253999194692098E-2</v>
          </cell>
          <cell r="D123">
            <v>2.04034466413976E-2</v>
          </cell>
          <cell r="E123">
            <v>-6.4679586457244503E-2</v>
          </cell>
        </row>
        <row r="124">
          <cell r="B124">
            <v>-7.4974523724959897E-3</v>
          </cell>
          <cell r="C124">
            <v>1.6815895412072299E-3</v>
          </cell>
          <cell r="D124">
            <v>-5.0211325219266599E-2</v>
          </cell>
          <cell r="E124">
            <v>-4.0471592873809699E-2</v>
          </cell>
        </row>
        <row r="125">
          <cell r="B125">
            <v>-6.2650725714543706E-2</v>
          </cell>
          <cell r="C125">
            <v>-5.53944124677542E-2</v>
          </cell>
          <cell r="D125">
            <v>-3.60362867517234E-2</v>
          </cell>
          <cell r="E125">
            <v>-0.104616455065629</v>
          </cell>
        </row>
        <row r="126">
          <cell r="B126">
            <v>3.9554982228336297E-2</v>
          </cell>
          <cell r="C126">
            <v>6.8837695948399405E-2</v>
          </cell>
          <cell r="D126">
            <v>-3.4923769730337E-2</v>
          </cell>
          <cell r="E126">
            <v>-1.14984969016904E-2</v>
          </cell>
        </row>
        <row r="127">
          <cell r="B127">
            <v>1.25975742047879E-2</v>
          </cell>
          <cell r="C127">
            <v>1.8191330123450901E-2</v>
          </cell>
          <cell r="D127">
            <v>-2.1616452991453001E-2</v>
          </cell>
          <cell r="E127">
            <v>1.76360685715105E-2</v>
          </cell>
        </row>
        <row r="128">
          <cell r="B128">
            <v>1.9763369506085701E-2</v>
          </cell>
          <cell r="C128">
            <v>1.5017138810262501E-2</v>
          </cell>
          <cell r="D128">
            <v>-2.9511093667150899E-2</v>
          </cell>
          <cell r="E128">
            <v>0.13532448240136899</v>
          </cell>
        </row>
        <row r="129">
          <cell r="B129">
            <v>2.42361536177753E-2</v>
          </cell>
          <cell r="C129">
            <v>4.4138315904911404E-3</v>
          </cell>
          <cell r="D129">
            <v>3.47145691693811E-2</v>
          </cell>
          <cell r="E129">
            <v>8.7365980731505005E-2</v>
          </cell>
        </row>
        <row r="130">
          <cell r="B130">
            <v>-1.9789409716294001E-2</v>
          </cell>
          <cell r="C130">
            <v>-5.2153205987360701E-2</v>
          </cell>
          <cell r="D130">
            <v>-6.1546726055193998E-2</v>
          </cell>
          <cell r="E130">
            <v>-6.6009531502073601E-2</v>
          </cell>
        </row>
        <row r="131">
          <cell r="B131">
            <v>2.8467166850427699E-3</v>
          </cell>
          <cell r="C131">
            <v>3.8242221806915402E-2</v>
          </cell>
          <cell r="D131">
            <v>6.3906685877703095E-2</v>
          </cell>
          <cell r="E131">
            <v>3.4857695447115603E-2</v>
          </cell>
        </row>
        <row r="132">
          <cell r="B132">
            <v>7.0682309562846201E-3</v>
          </cell>
          <cell r="C132">
            <v>2.7660015024161499E-2</v>
          </cell>
          <cell r="D132">
            <v>6.9208633753955306E-2</v>
          </cell>
          <cell r="E132">
            <v>-9.2398013433958398E-2</v>
          </cell>
        </row>
        <row r="133">
          <cell r="B133">
            <v>5.0428096466868903E-2</v>
          </cell>
          <cell r="C133">
            <v>8.2929174597597702E-2</v>
          </cell>
          <cell r="D133">
            <v>9.6477557345842097E-2</v>
          </cell>
          <cell r="E133">
            <v>3.6431721629196501E-2</v>
          </cell>
        </row>
        <row r="134">
          <cell r="B134">
            <v>1.10606487650415E-2</v>
          </cell>
          <cell r="C134">
            <v>3.4311147910100398E-2</v>
          </cell>
          <cell r="D134">
            <v>-7.3693851388113102E-2</v>
          </cell>
          <cell r="E134">
            <v>-9.5269368188270101E-2</v>
          </cell>
        </row>
        <row r="135">
          <cell r="B135">
            <v>3.5987723982872998E-2</v>
          </cell>
          <cell r="C135">
            <v>2.8524237423671599E-2</v>
          </cell>
          <cell r="D135">
            <v>1.18129476921489E-2</v>
          </cell>
          <cell r="E135">
            <v>-4.3573288033458297E-3</v>
          </cell>
        </row>
        <row r="136">
          <cell r="B136">
            <v>1.8085767779889999E-2</v>
          </cell>
          <cell r="C136">
            <v>-1.5050016264522801E-2</v>
          </cell>
          <cell r="D136">
            <v>-9.8050210747843095E-3</v>
          </cell>
          <cell r="E136">
            <v>-0.144420167060646</v>
          </cell>
        </row>
        <row r="137">
          <cell r="B137">
            <v>2.07628116830578E-2</v>
          </cell>
          <cell r="C137">
            <v>5.30984613800045E-2</v>
          </cell>
          <cell r="D137">
            <v>9.6766351325822994E-2</v>
          </cell>
          <cell r="E137">
            <v>-8.61039483906888E-2</v>
          </cell>
        </row>
        <row r="138">
          <cell r="B138">
            <v>-1.49993015955808E-2</v>
          </cell>
          <cell r="C138">
            <v>-2.6892378462839402E-3</v>
          </cell>
          <cell r="D138">
            <v>-5.9186008213926201E-2</v>
          </cell>
          <cell r="E138">
            <v>-0.11520527794668201</v>
          </cell>
        </row>
        <row r="139">
          <cell r="B139">
            <v>4.9462079913085398E-2</v>
          </cell>
          <cell r="C139">
            <v>7.3891687891621996E-2</v>
          </cell>
          <cell r="D139">
            <v>4.89928476117776E-2</v>
          </cell>
          <cell r="E139">
            <v>8.9615225328063507E-3</v>
          </cell>
        </row>
        <row r="140">
          <cell r="B140">
            <v>-3.1298019479343998E-2</v>
          </cell>
          <cell r="C140">
            <v>-3.2786199490392201E-2</v>
          </cell>
          <cell r="D140">
            <v>4.27011522460796E-2</v>
          </cell>
          <cell r="E140">
            <v>0.180773307322704</v>
          </cell>
        </row>
        <row r="141">
          <cell r="B141">
            <v>2.9749523259195301E-2</v>
          </cell>
          <cell r="C141">
            <v>5.71460679043303E-2</v>
          </cell>
          <cell r="D141">
            <v>9.8841774817162803E-2</v>
          </cell>
          <cell r="E141">
            <v>-7.5221271426761702E-2</v>
          </cell>
        </row>
        <row r="142">
          <cell r="B142">
            <v>4.4595752761944697E-2</v>
          </cell>
          <cell r="C142">
            <v>5.3931734497386002E-2</v>
          </cell>
          <cell r="D142">
            <v>-7.2737470313471997E-3</v>
          </cell>
          <cell r="E142">
            <v>9.5694146693729998E-3</v>
          </cell>
        </row>
        <row r="143">
          <cell r="B143">
            <v>2.8049471367328702E-2</v>
          </cell>
          <cell r="C143">
            <v>6.0866066188113702E-2</v>
          </cell>
          <cell r="D143">
            <v>5.5358544181320503E-2</v>
          </cell>
          <cell r="E143">
            <v>-8.8151686100680707E-2</v>
          </cell>
        </row>
        <row r="144">
          <cell r="B144">
            <v>2.3562791975446001E-2</v>
          </cell>
          <cell r="C144">
            <v>5.5637489890118401E-2</v>
          </cell>
          <cell r="D144">
            <v>6.7575029466319797E-2</v>
          </cell>
          <cell r="E144">
            <v>-2.7546813562914399E-2</v>
          </cell>
        </row>
        <row r="145">
          <cell r="B145">
            <v>-3.5582905955811601E-2</v>
          </cell>
          <cell r="C145">
            <v>-8.5989168214855999E-2</v>
          </cell>
          <cell r="D145">
            <v>1.9127360751852999E-2</v>
          </cell>
          <cell r="E145">
            <v>-1.38962231029169E-2</v>
          </cell>
        </row>
        <row r="146">
          <cell r="B146">
            <v>4.3117030178161597E-2</v>
          </cell>
          <cell r="C146">
            <v>5.1017807222773597E-2</v>
          </cell>
          <cell r="D146">
            <v>-2.09802412693352E-2</v>
          </cell>
          <cell r="E146">
            <v>0.102981004875989</v>
          </cell>
        </row>
        <row r="147">
          <cell r="B147">
            <v>6.9321654182270499E-3</v>
          </cell>
          <cell r="C147">
            <v>1.3518975661309E-2</v>
          </cell>
          <cell r="D147">
            <v>-1.7740926367845099E-2</v>
          </cell>
          <cell r="E147">
            <v>-6.4373436923138294E-2</v>
          </cell>
        </row>
        <row r="148">
          <cell r="B148">
            <v>6.2007891534141503E-3</v>
          </cell>
          <cell r="C148">
            <v>2.5283615335606201E-2</v>
          </cell>
          <cell r="D148">
            <v>-3.3619497149757899E-2</v>
          </cell>
          <cell r="E148">
            <v>-3.0462279578027201E-2</v>
          </cell>
        </row>
        <row r="149">
          <cell r="B149">
            <v>2.1030280073280401E-2</v>
          </cell>
          <cell r="C149">
            <v>2.4876140615385501E-2</v>
          </cell>
          <cell r="D149">
            <v>5.6214932680325402E-2</v>
          </cell>
          <cell r="E149">
            <v>-2.0585004312715899E-2</v>
          </cell>
        </row>
        <row r="150">
          <cell r="B150">
            <v>1.9058331749470098E-2</v>
          </cell>
          <cell r="C150">
            <v>1.1004563542884401E-2</v>
          </cell>
          <cell r="D150">
            <v>8.7807523435179408E-3</v>
          </cell>
          <cell r="E150">
            <v>0.120022128620072</v>
          </cell>
        </row>
        <row r="151">
          <cell r="B151">
            <v>-1.5079830845342399E-2</v>
          </cell>
          <cell r="C151">
            <v>-1.6406189126187701E-2</v>
          </cell>
          <cell r="D151">
            <v>-2.1268274861642601E-2</v>
          </cell>
          <cell r="E151">
            <v>-3.3086423520688697E-2</v>
          </cell>
        </row>
        <row r="152">
          <cell r="B152">
            <v>3.7655295579825297E-2</v>
          </cell>
          <cell r="C152">
            <v>2.2074215954441801E-2</v>
          </cell>
          <cell r="D152">
            <v>1.9076598877961301E-2</v>
          </cell>
          <cell r="E152">
            <v>-4.4433138029794497E-2</v>
          </cell>
        </row>
        <row r="153">
          <cell r="B153">
            <v>-1.5513837249454E-2</v>
          </cell>
          <cell r="C153">
            <v>-1.02447990003297E-2</v>
          </cell>
          <cell r="D153">
            <v>-3.1491935165843801E-3</v>
          </cell>
          <cell r="E153">
            <v>-0.12613569313113901</v>
          </cell>
        </row>
        <row r="154">
          <cell r="B154">
            <v>2.3201460667203098E-2</v>
          </cell>
          <cell r="C154">
            <v>8.5333154936130501E-2</v>
          </cell>
          <cell r="D154">
            <v>-2.75786081319579E-2</v>
          </cell>
          <cell r="E154">
            <v>-5.19877897026274E-2</v>
          </cell>
        </row>
        <row r="155">
          <cell r="B155">
            <v>2.4533588646314899E-2</v>
          </cell>
          <cell r="C155">
            <v>4.11003875293008E-2</v>
          </cell>
          <cell r="D155">
            <v>8.0870380692490001E-2</v>
          </cell>
          <cell r="E155">
            <v>-4.3225811373802901E-2</v>
          </cell>
        </row>
        <row r="156">
          <cell r="B156">
            <v>-4.1885875159970399E-3</v>
          </cell>
          <cell r="C156">
            <v>3.1931832803712402E-2</v>
          </cell>
          <cell r="D156">
            <v>-4.21152358303436E-2</v>
          </cell>
          <cell r="E156">
            <v>1.5509136688732101E-2</v>
          </cell>
        </row>
        <row r="157">
          <cell r="B157">
            <v>-3.1040805838410599E-2</v>
          </cell>
          <cell r="C157">
            <v>-1.2293117416830699E-2</v>
          </cell>
          <cell r="D157">
            <v>-7.7430375285932301E-2</v>
          </cell>
          <cell r="E157">
            <v>9.8273602567954907E-2</v>
          </cell>
        </row>
        <row r="158">
          <cell r="B158">
            <v>5.4892510890623303E-2</v>
          </cell>
          <cell r="C158">
            <v>3.9125254443513002E-2</v>
          </cell>
          <cell r="D158">
            <v>0.12029021420361501</v>
          </cell>
          <cell r="E158">
            <v>-4.0507919763129001E-2</v>
          </cell>
        </row>
        <row r="159">
          <cell r="B159">
            <v>-1.73961071142196E-2</v>
          </cell>
          <cell r="C159">
            <v>-1.58558615915976E-2</v>
          </cell>
          <cell r="D159">
            <v>-1.5636379040884898E-2</v>
          </cell>
          <cell r="E159">
            <v>3.7807448046232E-3</v>
          </cell>
        </row>
        <row r="160">
          <cell r="B160">
            <v>8.5208198225352697E-3</v>
          </cell>
          <cell r="C160">
            <v>-5.18941577760723E-2</v>
          </cell>
          <cell r="D160">
            <v>-1.8795112508349599E-3</v>
          </cell>
          <cell r="E160">
            <v>-3.1387318921616503E-2</v>
          </cell>
        </row>
        <row r="161">
          <cell r="B161">
            <v>1.04913823045898E-2</v>
          </cell>
          <cell r="C161">
            <v>1.72006685884643E-2</v>
          </cell>
          <cell r="D161">
            <v>-4.3507350339146997E-3</v>
          </cell>
          <cell r="E161">
            <v>3.6292900509829397E-2</v>
          </cell>
        </row>
        <row r="162">
          <cell r="B162">
            <v>-2.1011671979730001E-2</v>
          </cell>
          <cell r="C162">
            <v>-2.3914521807590801E-2</v>
          </cell>
          <cell r="D162">
            <v>-6.3365111718298006E-2</v>
          </cell>
          <cell r="E162">
            <v>-6.00375266972153E-2</v>
          </cell>
        </row>
        <row r="163">
          <cell r="B163">
            <v>1.97420294351849E-2</v>
          </cell>
          <cell r="C163">
            <v>-1.9183364103783102E-2</v>
          </cell>
          <cell r="D163">
            <v>6.4087840706919197E-2</v>
          </cell>
          <cell r="E163">
            <v>-6.3206907927026101E-2</v>
          </cell>
        </row>
        <row r="164">
          <cell r="B164">
            <v>-6.2580818255865603E-2</v>
          </cell>
          <cell r="C164">
            <v>-6.0790483182688898E-2</v>
          </cell>
          <cell r="D164">
            <v>-0.113308979815979</v>
          </cell>
          <cell r="E164">
            <v>-6.3920563263896203E-3</v>
          </cell>
        </row>
        <row r="165">
          <cell r="B165">
            <v>-2.6442831280001501E-2</v>
          </cell>
          <cell r="C165">
            <v>4.3381960280040001E-3</v>
          </cell>
          <cell r="D165">
            <v>-5.4530690532848397E-2</v>
          </cell>
          <cell r="E165">
            <v>-8.5775473568496796E-3</v>
          </cell>
        </row>
        <row r="166">
          <cell r="B166">
            <v>8.2983117812666499E-2</v>
          </cell>
          <cell r="C166">
            <v>0.10890883485981299</v>
          </cell>
          <cell r="D166">
            <v>0.10310580632363001</v>
          </cell>
          <cell r="E166">
            <v>6.70512121736975E-2</v>
          </cell>
        </row>
        <row r="167">
          <cell r="B167">
            <v>5.0486911033487103E-4</v>
          </cell>
          <cell r="C167">
            <v>-4.0071971470937396E-3</v>
          </cell>
          <cell r="D167">
            <v>0.107521174896977</v>
          </cell>
          <cell r="E167">
            <v>-9.1891931947605907E-2</v>
          </cell>
        </row>
        <row r="168">
          <cell r="B168">
            <v>-1.7530185032692502E-2</v>
          </cell>
          <cell r="C168">
            <v>-3.1614893291429899E-2</v>
          </cell>
          <cell r="D168">
            <v>-2.39110272456156E-4</v>
          </cell>
          <cell r="E168">
            <v>-1.86011910569472E-2</v>
          </cell>
        </row>
        <row r="169">
          <cell r="B169">
            <v>-5.0735322046952303E-2</v>
          </cell>
          <cell r="C169">
            <v>2.3896496047306499E-3</v>
          </cell>
          <cell r="D169">
            <v>-9.7035619235512696E-2</v>
          </cell>
          <cell r="E169">
            <v>3.0326048895368302E-2</v>
          </cell>
        </row>
        <row r="170">
          <cell r="B170">
            <v>-4.12836030900354E-3</v>
          </cell>
          <cell r="C170">
            <v>3.8874329121041801E-2</v>
          </cell>
          <cell r="D170">
            <v>-7.9679843453316392E-3</v>
          </cell>
          <cell r="E170">
            <v>4.48859197813243E-2</v>
          </cell>
        </row>
        <row r="171">
          <cell r="B171">
            <v>6.5991114440058493E-2</v>
          </cell>
          <cell r="C171">
            <v>6.9891731318660694E-2</v>
          </cell>
          <cell r="D171">
            <v>6.6934443603531499E-2</v>
          </cell>
          <cell r="E171">
            <v>3.3802852278734398E-2</v>
          </cell>
        </row>
        <row r="172">
          <cell r="B172">
            <v>2.6993982833325401E-3</v>
          </cell>
          <cell r="C172">
            <v>4.5011516561150903E-3</v>
          </cell>
          <cell r="D172">
            <v>2.6850582335452101E-2</v>
          </cell>
          <cell r="E172">
            <v>0.15667569409039001</v>
          </cell>
        </row>
        <row r="173">
          <cell r="B173">
            <v>1.5324602525288399E-2</v>
          </cell>
          <cell r="C173">
            <v>5.61589839160104E-3</v>
          </cell>
          <cell r="D173">
            <v>0.124702338207896</v>
          </cell>
          <cell r="E173">
            <v>-0.105418139582428</v>
          </cell>
        </row>
        <row r="174">
          <cell r="B174">
            <v>9.1092124012437403E-4</v>
          </cell>
          <cell r="C174">
            <v>4.73268798993811E-2</v>
          </cell>
          <cell r="D174">
            <v>-3.3340379835438E-2</v>
          </cell>
          <cell r="E174">
            <v>0.17577360788188301</v>
          </cell>
        </row>
        <row r="175">
          <cell r="B175">
            <v>3.56098007533154E-2</v>
          </cell>
          <cell r="C175">
            <v>1.8501241070543399E-2</v>
          </cell>
          <cell r="D175">
            <v>8.7392878322159098E-2</v>
          </cell>
          <cell r="E175">
            <v>8.3426636069349594E-2</v>
          </cell>
        </row>
        <row r="176">
          <cell r="B176">
            <v>-1.2192428990193101E-3</v>
          </cell>
          <cell r="C176">
            <v>4.93412146807803E-3</v>
          </cell>
          <cell r="D176">
            <v>-2.3487815592825399E-2</v>
          </cell>
          <cell r="E176">
            <v>-8.4237779637264601E-2</v>
          </cell>
        </row>
        <row r="177">
          <cell r="B177">
            <v>-1.23445113931731E-3</v>
          </cell>
          <cell r="C177">
            <v>-1.0666600293866501E-2</v>
          </cell>
          <cell r="D177">
            <v>2.3414664808858502E-3</v>
          </cell>
          <cell r="E177">
            <v>2.70881189720595E-2</v>
          </cell>
        </row>
        <row r="178">
          <cell r="B178">
            <v>-1.9425678909034499E-2</v>
          </cell>
          <cell r="C178">
            <v>-6.2021380212762003E-2</v>
          </cell>
          <cell r="D178">
            <v>-7.2451873413708401E-2</v>
          </cell>
          <cell r="E178">
            <v>-6.7582494396901699E-2</v>
          </cell>
        </row>
        <row r="179">
          <cell r="B179">
            <v>3.4174521829295E-2</v>
          </cell>
          <cell r="C179">
            <v>3.8959223346359803E-2</v>
          </cell>
          <cell r="D179">
            <v>9.4097788343265893E-3</v>
          </cell>
          <cell r="E179">
            <v>-7.7195021741190195E-2</v>
          </cell>
        </row>
        <row r="180">
          <cell r="B180">
            <v>1.82007624418659E-2</v>
          </cell>
          <cell r="C180">
            <v>4.6435956156811301E-2</v>
          </cell>
          <cell r="D180">
            <v>3.5925673202286103E-2</v>
          </cell>
          <cell r="E180">
            <v>-3.51213407467404E-2</v>
          </cell>
        </row>
        <row r="181">
          <cell r="B181">
            <v>1.7884358198382501E-2</v>
          </cell>
          <cell r="C181">
            <v>-2.0999810562325399E-2</v>
          </cell>
          <cell r="D181">
            <v>7.79584473057022E-2</v>
          </cell>
          <cell r="E181">
            <v>0.100595601497427</v>
          </cell>
        </row>
        <row r="182">
          <cell r="B182">
            <v>3.7198160066816303E-2</v>
          </cell>
          <cell r="C182">
            <v>6.5953488064342897E-2</v>
          </cell>
          <cell r="D182">
            <v>4.7580258525066602E-2</v>
          </cell>
          <cell r="E182">
            <v>4.4497998545460299E-2</v>
          </cell>
        </row>
        <row r="183">
          <cell r="B183">
            <v>-3.8919713526941501E-4</v>
          </cell>
          <cell r="C183">
            <v>3.3409867264146298E-2</v>
          </cell>
          <cell r="D183">
            <v>3.0604424075301201E-2</v>
          </cell>
          <cell r="E183">
            <v>-6.9085108483330996E-3</v>
          </cell>
        </row>
        <row r="184">
          <cell r="B184">
            <v>9.0912087488546102E-3</v>
          </cell>
          <cell r="C184">
            <v>2.3519772701538599E-2</v>
          </cell>
          <cell r="D184">
            <v>4.3816975534386501E-2</v>
          </cell>
          <cell r="E184">
            <v>-5.5072507996490001E-2</v>
          </cell>
        </row>
        <row r="185">
          <cell r="B185">
            <v>1.15762512463287E-2</v>
          </cell>
          <cell r="C185">
            <v>4.4119822970064802E-2</v>
          </cell>
          <cell r="D185">
            <v>9.6094428294484002E-2</v>
          </cell>
          <cell r="E185">
            <v>5.5214820122972998E-3</v>
          </cell>
        </row>
        <row r="186">
          <cell r="B186">
            <v>4.8137752078125703E-3</v>
          </cell>
          <cell r="C186">
            <v>2.4274881049010998E-2</v>
          </cell>
          <cell r="D186">
            <v>-1.7069782536210699E-2</v>
          </cell>
          <cell r="E186">
            <v>-4.1488674607940403E-2</v>
          </cell>
        </row>
        <row r="187">
          <cell r="B187">
            <v>1.9348826001101899E-2</v>
          </cell>
          <cell r="C187">
            <v>-3.3719129127056997E-2</v>
          </cell>
          <cell r="D187">
            <v>1.0338220182168E-2</v>
          </cell>
          <cell r="E187">
            <v>1.2094180771606801E-2</v>
          </cell>
        </row>
        <row r="188">
          <cell r="B188">
            <v>5.46433019853243E-4</v>
          </cell>
          <cell r="C188">
            <v>1.5657941215223799E-2</v>
          </cell>
          <cell r="D188">
            <v>8.2455260133727004E-2</v>
          </cell>
          <cell r="E188">
            <v>4.7169812452443803E-2</v>
          </cell>
        </row>
        <row r="189">
          <cell r="B189">
            <v>1.93029785621677E-2</v>
          </cell>
          <cell r="C189">
            <v>3.3219271053044098E-2</v>
          </cell>
          <cell r="D189">
            <v>-8.0346778270985499E-3</v>
          </cell>
          <cell r="E189">
            <v>-5.4654646742414603E-2</v>
          </cell>
        </row>
        <row r="190">
          <cell r="B190">
            <v>2.21881350661512E-2</v>
          </cell>
          <cell r="C190">
            <v>9.6665201717916399E-2</v>
          </cell>
          <cell r="D190">
            <v>5.9657566003739497E-2</v>
          </cell>
          <cell r="E190">
            <v>3.1766322402755299E-3</v>
          </cell>
        </row>
        <row r="191">
          <cell r="B191">
            <v>2.8082627806563301E-2</v>
          </cell>
          <cell r="C191">
            <v>5.6257570426953001E-2</v>
          </cell>
          <cell r="D191">
            <v>1.9882832212397599E-2</v>
          </cell>
          <cell r="E191">
            <v>-1.7732725373504801E-2</v>
          </cell>
        </row>
        <row r="192">
          <cell r="B192">
            <v>9.8316305942705001E-3</v>
          </cell>
          <cell r="C192">
            <v>-2.70733303745864E-2</v>
          </cell>
          <cell r="D192">
            <v>-3.2784335243046199E-2</v>
          </cell>
          <cell r="E192">
            <v>3.09477456578304E-2</v>
          </cell>
        </row>
        <row r="193">
          <cell r="B193">
            <v>5.6178704125528202E-2</v>
          </cell>
          <cell r="C193">
            <v>6.4282045141738103E-2</v>
          </cell>
          <cell r="D193">
            <v>9.8888738567252998E-2</v>
          </cell>
          <cell r="E193">
            <v>2.2514109787656899E-2</v>
          </cell>
        </row>
        <row r="194">
          <cell r="B194">
            <v>-3.8947371879367698E-2</v>
          </cell>
          <cell r="C194">
            <v>-5.9840572457783799E-2</v>
          </cell>
          <cell r="D194">
            <v>-6.5913111561504298E-2</v>
          </cell>
          <cell r="E194">
            <v>-5.44342704928273E-2</v>
          </cell>
        </row>
        <row r="195">
          <cell r="B195">
            <v>-2.6884498600556601E-2</v>
          </cell>
          <cell r="C195">
            <v>-6.2399134818471799E-2</v>
          </cell>
          <cell r="D195">
            <v>-2.4639191191267701E-2</v>
          </cell>
          <cell r="E195">
            <v>-3.2341649813382202E-3</v>
          </cell>
        </row>
        <row r="196">
          <cell r="B196">
            <v>2.7187749953683201E-3</v>
          </cell>
          <cell r="C196">
            <v>-0.114476880663531</v>
          </cell>
          <cell r="D196">
            <v>-1.7339240698036901E-2</v>
          </cell>
          <cell r="E196">
            <v>-1.9467704911255699E-3</v>
          </cell>
        </row>
        <row r="197">
          <cell r="B197">
            <v>2.1608341854583601E-2</v>
          </cell>
          <cell r="C197">
            <v>1.4609521389819E-2</v>
          </cell>
          <cell r="D197">
            <v>-5.6005285151305401E-2</v>
          </cell>
          <cell r="E197">
            <v>5.2015554688416002E-3</v>
          </cell>
        </row>
        <row r="198">
          <cell r="B198">
            <v>4.8424362676078303E-3</v>
          </cell>
          <cell r="C198">
            <v>4.23607274198479E-3</v>
          </cell>
          <cell r="D198">
            <v>-1.2917891644767001E-3</v>
          </cell>
          <cell r="E198">
            <v>-2.0051773535044299E-2</v>
          </cell>
        </row>
        <row r="199">
          <cell r="B199">
            <v>3.6021556172899101E-2</v>
          </cell>
          <cell r="C199">
            <v>7.9300475366421694E-2</v>
          </cell>
          <cell r="D199">
            <v>6.7916828718831396E-2</v>
          </cell>
          <cell r="E199">
            <v>-3.5643562735971503E-2</v>
          </cell>
        </row>
        <row r="200">
          <cell r="B200">
            <v>3.0263211276748199E-2</v>
          </cell>
          <cell r="C200">
            <v>-6.5937305212429003E-3</v>
          </cell>
          <cell r="D200">
            <v>2.5183634614153402E-2</v>
          </cell>
          <cell r="E200">
            <v>-6.57084230462813E-2</v>
          </cell>
        </row>
        <row r="201">
          <cell r="B201">
            <v>4.2942874264617599E-3</v>
          </cell>
          <cell r="C201">
            <v>5.7005877207891896E-3</v>
          </cell>
          <cell r="D201">
            <v>4.4418155659399897E-2</v>
          </cell>
          <cell r="E201">
            <v>5.8608004352946903E-3</v>
          </cell>
        </row>
        <row r="202">
          <cell r="B202">
            <v>-6.94033560936963E-2</v>
          </cell>
          <cell r="C202">
            <v>-9.7052745371083896E-2</v>
          </cell>
          <cell r="D202">
            <v>-8.1513740877315805E-2</v>
          </cell>
          <cell r="E202">
            <v>-2.33066063724061E-2</v>
          </cell>
        </row>
        <row r="203">
          <cell r="B203">
            <v>1.78593566547798E-2</v>
          </cell>
          <cell r="C203">
            <v>9.2820146594205594E-2</v>
          </cell>
          <cell r="D203">
            <v>0.11904825793217801</v>
          </cell>
          <cell r="E203">
            <v>-6.7114208510046201E-3</v>
          </cell>
        </row>
        <row r="204">
          <cell r="B204">
            <v>-9.1776894679972507E-2</v>
          </cell>
          <cell r="C204">
            <v>-7.7331543065677202E-2</v>
          </cell>
          <cell r="D204">
            <v>-6.7588086747278994E-2</v>
          </cell>
          <cell r="E204">
            <v>9.0090149431890906E-2</v>
          </cell>
        </row>
        <row r="205">
          <cell r="B205">
            <v>7.8684401665826104E-2</v>
          </cell>
          <cell r="C205">
            <v>5.1222613122441099E-2</v>
          </cell>
          <cell r="D205">
            <v>0.13012287457815999</v>
          </cell>
          <cell r="E205">
            <v>3.6501357869297202E-2</v>
          </cell>
        </row>
        <row r="206">
          <cell r="B206">
            <v>2.97288893439271E-2</v>
          </cell>
          <cell r="C206">
            <v>3.5397127868266501E-2</v>
          </cell>
          <cell r="D206">
            <v>4.4576015221006397E-2</v>
          </cell>
          <cell r="E206">
            <v>-2.79069814598745E-2</v>
          </cell>
        </row>
        <row r="207">
          <cell r="B207">
            <v>1.7924256249588499E-2</v>
          </cell>
          <cell r="C207">
            <v>8.8071319097662304E-3</v>
          </cell>
          <cell r="D207">
            <v>1.1832459983175401E-2</v>
          </cell>
          <cell r="E207">
            <v>-3.0758701691393199E-2</v>
          </cell>
        </row>
        <row r="208">
          <cell r="B208">
            <v>3.9313498313738003E-2</v>
          </cell>
          <cell r="C208">
            <v>-8.7929550754050401E-2</v>
          </cell>
          <cell r="D208">
            <v>-2.3388877985532901E-2</v>
          </cell>
          <cell r="E208">
            <v>-1.12834868807238E-2</v>
          </cell>
        </row>
        <row r="209">
          <cell r="B209">
            <v>-6.5777731366835401E-2</v>
          </cell>
          <cell r="C209">
            <v>-0.15703639868966901</v>
          </cell>
          <cell r="D209">
            <v>-0.14411328179459801</v>
          </cell>
          <cell r="E209">
            <v>-2.63909291834943E-2</v>
          </cell>
        </row>
        <row r="210">
          <cell r="B210">
            <v>6.8930163998240701E-2</v>
          </cell>
          <cell r="C210">
            <v>9.4354497305954702E-2</v>
          </cell>
          <cell r="D210">
            <v>0.113646139215412</v>
          </cell>
          <cell r="E210">
            <v>4.9816873566257198E-2</v>
          </cell>
        </row>
        <row r="211">
          <cell r="B211">
            <v>1.3128152166958E-2</v>
          </cell>
          <cell r="C211">
            <v>7.9611025046757398E-3</v>
          </cell>
          <cell r="D211">
            <v>-7.0443442642874401E-2</v>
          </cell>
          <cell r="E211">
            <v>6.1409638459602303E-2</v>
          </cell>
        </row>
        <row r="212">
          <cell r="B212">
            <v>-1.8091627240523898E-2</v>
          </cell>
          <cell r="C212">
            <v>-7.4405004336230707E-2</v>
          </cell>
          <cell r="D212">
            <v>2.6747232632787301E-2</v>
          </cell>
          <cell r="E212">
            <v>0.12754763810110101</v>
          </cell>
        </row>
        <row r="213">
          <cell r="B213">
            <v>1.71811779310207E-2</v>
          </cell>
          <cell r="C213">
            <v>2.5874036054800702E-2</v>
          </cell>
          <cell r="D213">
            <v>7.76263059165649E-2</v>
          </cell>
          <cell r="E213">
            <v>-7.1720091521596002E-2</v>
          </cell>
        </row>
        <row r="214">
          <cell r="B214">
            <v>2.0431770513684101E-2</v>
          </cell>
          <cell r="C214">
            <v>3.5888734010223202E-3</v>
          </cell>
          <cell r="D214">
            <v>-9.3570295626789202E-3</v>
          </cell>
          <cell r="E214">
            <v>6.2814070050732904E-2</v>
          </cell>
        </row>
        <row r="215">
          <cell r="B215">
            <v>3.4047037714499899E-2</v>
          </cell>
          <cell r="C215">
            <v>2.8971495727247599E-2</v>
          </cell>
          <cell r="D215">
            <v>6.6270575133188001E-2</v>
          </cell>
          <cell r="E215">
            <v>-5.9101654579840499E-2</v>
          </cell>
        </row>
        <row r="216">
          <cell r="B216">
            <v>2.8589818905730102E-2</v>
          </cell>
          <cell r="C216">
            <v>4.8167150859952199E-2</v>
          </cell>
          <cell r="D216">
            <v>5.6209043776723797E-2</v>
          </cell>
          <cell r="E216">
            <v>4.7738707615556701E-2</v>
          </cell>
        </row>
        <row r="217">
          <cell r="B217">
            <v>-1.62809281904897E-3</v>
          </cell>
          <cell r="C217">
            <v>-0.10066891631908299</v>
          </cell>
          <cell r="D217">
            <v>-3.01915280484613E-2</v>
          </cell>
          <cell r="E217">
            <v>8.3932486263202898E-3</v>
          </cell>
        </row>
        <row r="218">
          <cell r="B218">
            <v>-8.4110483638403094E-2</v>
          </cell>
          <cell r="C218">
            <v>-5.9371978927181303E-2</v>
          </cell>
          <cell r="D218">
            <v>-6.6497110890036001E-2</v>
          </cell>
          <cell r="E218">
            <v>-7.6694410538543603E-2</v>
          </cell>
        </row>
        <row r="219">
          <cell r="B219">
            <v>-0.125119282408928</v>
          </cell>
          <cell r="C219">
            <v>-7.7015842608286103E-2</v>
          </cell>
          <cell r="D219">
            <v>-7.0714872217536806E-2</v>
          </cell>
          <cell r="E219">
            <v>-0.15969089406815201</v>
          </cell>
        </row>
        <row r="220">
          <cell r="B220">
            <v>0.126844038165279</v>
          </cell>
          <cell r="C220">
            <v>0.11288553774658</v>
          </cell>
          <cell r="D220">
            <v>7.3094943708744003E-2</v>
          </cell>
          <cell r="E220">
            <v>7.1264317081139797E-2</v>
          </cell>
        </row>
        <row r="221">
          <cell r="B221">
            <v>4.52818196655582E-2</v>
          </cell>
          <cell r="C221">
            <v>2.9752559933820401E-2</v>
          </cell>
          <cell r="D221">
            <v>0.149752390560349</v>
          </cell>
          <cell r="E221">
            <v>0.19170246015237499</v>
          </cell>
        </row>
        <row r="222">
          <cell r="B222">
            <v>1.83883965139242E-2</v>
          </cell>
          <cell r="C222">
            <v>7.0133865105306298E-3</v>
          </cell>
          <cell r="D222">
            <v>2.60947951465074E-3</v>
          </cell>
          <cell r="E222">
            <v>2.1008426451101899E-2</v>
          </cell>
        </row>
        <row r="223">
          <cell r="B223">
            <v>5.51013214804437E-2</v>
          </cell>
          <cell r="C223">
            <v>-3.5387089841794103E-2</v>
          </cell>
          <cell r="D223">
            <v>9.23649318791782E-2</v>
          </cell>
          <cell r="E223">
            <v>0.33156962455956301</v>
          </cell>
        </row>
        <row r="224">
          <cell r="B224">
            <v>7.0064666901717795E-2</v>
          </cell>
          <cell r="C224">
            <v>8.3405625583387294E-2</v>
          </cell>
          <cell r="D224">
            <v>4.2458300499080601E-2</v>
          </cell>
          <cell r="E224">
            <v>0.15805739443709299</v>
          </cell>
        </row>
        <row r="225">
          <cell r="B225">
            <v>-3.9227970178423097E-2</v>
          </cell>
          <cell r="C225">
            <v>-8.4778344868894403E-3</v>
          </cell>
          <cell r="D225">
            <v>5.1781766481013803E-3</v>
          </cell>
          <cell r="E225">
            <v>-0.17499047779992999</v>
          </cell>
        </row>
        <row r="226">
          <cell r="B226">
            <v>-2.7665786221379701E-2</v>
          </cell>
          <cell r="C226">
            <v>-1.37321071771601E-3</v>
          </cell>
          <cell r="D226">
            <v>1.1392901361139801E-2</v>
          </cell>
          <cell r="E226">
            <v>1.6173770394704901E-2</v>
          </cell>
        </row>
        <row r="227">
          <cell r="B227">
            <v>0.10754563544385901</v>
          </cell>
          <cell r="C227">
            <v>7.9832478043740301E-2</v>
          </cell>
          <cell r="D227">
            <v>0.14713287439082201</v>
          </cell>
          <cell r="E227">
            <v>-4.2746727778152097E-2</v>
          </cell>
        </row>
        <row r="228">
          <cell r="B228">
            <v>3.7121459093570001E-2</v>
          </cell>
          <cell r="C228">
            <v>2.0680168517551299E-2</v>
          </cell>
          <cell r="D228">
            <v>1.36012756939374E-2</v>
          </cell>
          <cell r="E228">
            <v>0.167220930420101</v>
          </cell>
        </row>
        <row r="229">
          <cell r="B229">
            <v>-1.1136660755445201E-2</v>
          </cell>
          <cell r="C229">
            <v>4.9771071943283101E-3</v>
          </cell>
          <cell r="D229">
            <v>1.41782946717568E-2</v>
          </cell>
          <cell r="E229">
            <v>1.7094020411502899E-2</v>
          </cell>
        </row>
        <row r="230">
          <cell r="B230">
            <v>2.6091451377448401E-2</v>
          </cell>
          <cell r="C230">
            <v>-3.41585730661564E-3</v>
          </cell>
          <cell r="D230">
            <v>1.74768253735549E-2</v>
          </cell>
          <cell r="E230">
            <v>-1.3205279180812501E-2</v>
          </cell>
        </row>
        <row r="231">
          <cell r="B231">
            <v>4.2438632533165203E-2</v>
          </cell>
          <cell r="C231">
            <v>0.109721467256074</v>
          </cell>
          <cell r="D231">
            <v>4.15335205453711E-2</v>
          </cell>
          <cell r="E231">
            <v>-7.9480904160603397E-2</v>
          </cell>
        </row>
        <row r="232">
          <cell r="B232">
            <v>5.24253213475585E-2</v>
          </cell>
          <cell r="C232">
            <v>2.3147044348936299E-2</v>
          </cell>
          <cell r="D232">
            <v>5.11249983807689E-2</v>
          </cell>
          <cell r="E232">
            <v>5.7709225634966499E-2</v>
          </cell>
        </row>
        <row r="233">
          <cell r="B233">
            <v>5.4864886706069704E-3</v>
          </cell>
          <cell r="C233">
            <v>2.99281090494838E-2</v>
          </cell>
          <cell r="D233">
            <v>3.5170341378550199E-2</v>
          </cell>
          <cell r="E233">
            <v>7.8717174995064795E-2</v>
          </cell>
        </row>
        <row r="234">
          <cell r="B234">
            <v>2.2214009565834698E-2</v>
          </cell>
          <cell r="C234">
            <v>-1.45208978837014E-2</v>
          </cell>
          <cell r="D234">
            <v>7.00788208015279E-2</v>
          </cell>
          <cell r="E234">
            <v>-6.4864877603079907E-2</v>
          </cell>
        </row>
        <row r="235">
          <cell r="B235">
            <v>2.2748054828388702E-2</v>
          </cell>
          <cell r="C235">
            <v>-3.4739444420137698E-3</v>
          </cell>
          <cell r="D235">
            <v>3.6668570943098097E-2</v>
          </cell>
          <cell r="E235">
            <v>-2.4360040021247E-2</v>
          </cell>
        </row>
        <row r="236">
          <cell r="B236">
            <v>2.8990416255438599E-2</v>
          </cell>
          <cell r="C236">
            <v>-1.6166609033052899E-2</v>
          </cell>
          <cell r="D236">
            <v>0.14664664335703101</v>
          </cell>
          <cell r="E236">
            <v>-6.3055430555919903E-2</v>
          </cell>
        </row>
        <row r="237">
          <cell r="B237">
            <v>-4.7569168801901103E-2</v>
          </cell>
          <cell r="C237">
            <v>-9.2332755700734501E-2</v>
          </cell>
          <cell r="D237">
            <v>-0.102239687502211</v>
          </cell>
          <cell r="E237">
            <v>-7.3170685480786299E-2</v>
          </cell>
        </row>
        <row r="238">
          <cell r="B238">
            <v>6.9143836400606506E-2</v>
          </cell>
          <cell r="C238">
            <v>1.8584116405788501E-2</v>
          </cell>
          <cell r="D238">
            <v>-2.5379773796785398E-4</v>
          </cell>
          <cell r="E238">
            <v>7.6510704668635299E-2</v>
          </cell>
        </row>
        <row r="239">
          <cell r="B239">
            <v>-8.3337061847461608E-3</v>
          </cell>
          <cell r="C239">
            <v>-4.8354990406052199E-2</v>
          </cell>
          <cell r="D239">
            <v>-4.065077726329E-2</v>
          </cell>
          <cell r="E239">
            <v>-4.6627463989620699E-2</v>
          </cell>
        </row>
        <row r="240">
          <cell r="B240">
            <v>4.3612913462064903E-2</v>
          </cell>
          <cell r="C240">
            <v>5.31380790697158E-2</v>
          </cell>
          <cell r="D240">
            <v>5.7985293458363098E-2</v>
          </cell>
          <cell r="E240">
            <v>2.1367558136322899E-2</v>
          </cell>
        </row>
        <row r="241">
          <cell r="B241">
            <v>-5.2585165027393903E-2</v>
          </cell>
          <cell r="C241">
            <v>-6.5360535621417096E-2</v>
          </cell>
          <cell r="D241">
            <v>-0.12734094253848399</v>
          </cell>
          <cell r="E241">
            <v>-3.3007949059338501E-2</v>
          </cell>
        </row>
        <row r="242">
          <cell r="B242">
            <v>-3.13604919459083E-2</v>
          </cell>
          <cell r="C242">
            <v>-0.10462584874360301</v>
          </cell>
          <cell r="D242">
            <v>-6.3080318208862299E-2</v>
          </cell>
          <cell r="E242">
            <v>8.7500080237024699E-2</v>
          </cell>
        </row>
        <row r="243">
          <cell r="B243">
            <v>3.5773288371546301E-2</v>
          </cell>
          <cell r="C243">
            <v>1.1228676327192001E-2</v>
          </cell>
          <cell r="D243">
            <v>1.51123371054103E-2</v>
          </cell>
          <cell r="E243">
            <v>1.1494178244337201E-2</v>
          </cell>
        </row>
        <row r="244">
          <cell r="B244">
            <v>-8.7956711804343099E-2</v>
          </cell>
          <cell r="C244">
            <v>-3.1300544292674801E-2</v>
          </cell>
          <cell r="D244">
            <v>-9.8692830665013401E-2</v>
          </cell>
          <cell r="E244">
            <v>-8.0419506675262001E-2</v>
          </cell>
        </row>
        <row r="245">
          <cell r="B245">
            <v>5.3177704644635802E-5</v>
          </cell>
          <cell r="C245">
            <v>3.5154735267169501E-2</v>
          </cell>
          <cell r="D245">
            <v>7.1185334225472199E-2</v>
          </cell>
          <cell r="E245">
            <v>-5.7034254311931203E-2</v>
          </cell>
        </row>
        <row r="246">
          <cell r="B246">
            <v>-8.3919999933826803E-2</v>
          </cell>
          <cell r="C246">
            <v>-0.124403659852173</v>
          </cell>
          <cell r="D246">
            <v>-6.8908688414516903E-2</v>
          </cell>
          <cell r="E246">
            <v>-6.0483908957174502E-2</v>
          </cell>
        </row>
        <row r="247">
          <cell r="B247">
            <v>9.1116391730209995E-2</v>
          </cell>
          <cell r="C247">
            <v>0.106869685822927</v>
          </cell>
          <cell r="D247">
            <v>0.12907296597873599</v>
          </cell>
          <cell r="E247">
            <v>3.21895789998461E-3</v>
          </cell>
        </row>
        <row r="248">
          <cell r="B248">
            <v>-4.2440128272998402E-2</v>
          </cell>
          <cell r="C248">
            <v>-0.131876449172634</v>
          </cell>
          <cell r="D248">
            <v>-4.1930229241376203E-2</v>
          </cell>
          <cell r="E248">
            <v>-0.113369024210679</v>
          </cell>
        </row>
        <row r="249">
          <cell r="B249">
            <v>-9.3395672013274394E-2</v>
          </cell>
          <cell r="C249">
            <v>-0.102259909221596</v>
          </cell>
          <cell r="D249">
            <v>-5.2241659168207298E-2</v>
          </cell>
          <cell r="E249">
            <v>5.5488545267031703E-2</v>
          </cell>
        </row>
        <row r="250">
          <cell r="B250">
            <v>7.9863413837008901E-2</v>
          </cell>
          <cell r="C250">
            <v>0.13837105859950599</v>
          </cell>
          <cell r="D250">
            <v>0.13821490999781899</v>
          </cell>
          <cell r="E250">
            <v>6.8571908133370201E-3</v>
          </cell>
        </row>
        <row r="251">
          <cell r="B251">
            <v>5.37528933524931E-2</v>
          </cell>
          <cell r="C251">
            <v>1.43109094502081E-3</v>
          </cell>
          <cell r="D251">
            <v>0.122140750111063</v>
          </cell>
          <cell r="E251">
            <v>0.15947782815569</v>
          </cell>
        </row>
        <row r="252">
          <cell r="B252">
            <v>-5.8971474074730502E-2</v>
          </cell>
          <cell r="C252">
            <v>-3.68804446275732E-2</v>
          </cell>
          <cell r="D252">
            <v>-3.4391518151632501E-2</v>
          </cell>
          <cell r="E252">
            <v>7.7826731710086E-2</v>
          </cell>
        </row>
        <row r="253">
          <cell r="B253">
            <v>6.1752857834679098E-2</v>
          </cell>
          <cell r="C253">
            <v>-4.0360383313193103E-2</v>
          </cell>
          <cell r="D253">
            <v>1.7753495822979699E-2</v>
          </cell>
          <cell r="E253">
            <v>-8.6285436016250196E-3</v>
          </cell>
        </row>
        <row r="254">
          <cell r="B254">
            <v>-2.6112493931818598E-2</v>
          </cell>
          <cell r="C254">
            <v>-6.37814910735887E-2</v>
          </cell>
          <cell r="D254">
            <v>-6.6478140687102699E-2</v>
          </cell>
          <cell r="E254">
            <v>-0.119560266581461</v>
          </cell>
        </row>
        <row r="255">
          <cell r="B255">
            <v>3.5051612577109002E-2</v>
          </cell>
          <cell r="C255">
            <v>-1.14936178725589E-2</v>
          </cell>
          <cell r="D255">
            <v>-2.5568679174251902E-2</v>
          </cell>
          <cell r="E255">
            <v>0.15088458009797701</v>
          </cell>
        </row>
        <row r="256">
          <cell r="B256">
            <v>1.4642341662481E-2</v>
          </cell>
          <cell r="C256">
            <v>1.05604365400069E-2</v>
          </cell>
          <cell r="D256">
            <v>-2.1035327661113001E-2</v>
          </cell>
          <cell r="E256">
            <v>3.9782962358924499E-2</v>
          </cell>
        </row>
        <row r="257">
          <cell r="B257">
            <v>2.4823473681929698E-3</v>
          </cell>
          <cell r="C257">
            <v>-0.121540281077212</v>
          </cell>
          <cell r="D257">
            <v>-0.14451411159359501</v>
          </cell>
          <cell r="E257">
            <v>-6.0434756071671099E-2</v>
          </cell>
        </row>
        <row r="258">
          <cell r="B258">
            <v>6.4727464904234602E-2</v>
          </cell>
          <cell r="C258">
            <v>8.8966442635772094E-2</v>
          </cell>
          <cell r="D258">
            <v>3.9595350548962099E-2</v>
          </cell>
          <cell r="E258">
            <v>-3.3317963922603097E-2</v>
          </cell>
        </row>
        <row r="259">
          <cell r="B259">
            <v>3.11389323550109E-2</v>
          </cell>
          <cell r="C259">
            <v>0.11399712381988</v>
          </cell>
          <cell r="D259">
            <v>1.4574068941780399E-2</v>
          </cell>
          <cell r="E259">
            <v>8.6165686787962797E-2</v>
          </cell>
        </row>
        <row r="260">
          <cell r="B260">
            <v>-1.7716390070853998E-2</v>
          </cell>
          <cell r="C260">
            <v>-4.3318307487763101E-2</v>
          </cell>
          <cell r="D260">
            <v>-5.7483971520216901E-3</v>
          </cell>
          <cell r="E260">
            <v>-1.32217336865584E-2</v>
          </cell>
        </row>
        <row r="261">
          <cell r="B261">
            <v>-4.8719367465624899E-2</v>
          </cell>
          <cell r="C261">
            <v>-0.109214317267151</v>
          </cell>
          <cell r="D261">
            <v>-7.6402205242658394E-2</v>
          </cell>
          <cell r="E261">
            <v>-9.1558699997478496E-2</v>
          </cell>
        </row>
        <row r="262">
          <cell r="B262">
            <v>-2.1979688737982998E-2</v>
          </cell>
          <cell r="C262">
            <v>-2.8519620709682801E-2</v>
          </cell>
          <cell r="D262">
            <v>-7.5567845992586799E-2</v>
          </cell>
          <cell r="E262">
            <v>3.1465063168498099E-2</v>
          </cell>
        </row>
        <row r="263">
          <cell r="B263">
            <v>8.9179268781970106E-2</v>
          </cell>
          <cell r="C263">
            <v>8.9279997158895605E-2</v>
          </cell>
          <cell r="D263">
            <v>0.238828254274812</v>
          </cell>
          <cell r="E263">
            <v>0.102478535054396</v>
          </cell>
        </row>
        <row r="264">
          <cell r="B264">
            <v>4.4229231156360099E-2</v>
          </cell>
          <cell r="C264">
            <v>0.120826655199311</v>
          </cell>
          <cell r="D264">
            <v>8.7871602977840801E-2</v>
          </cell>
          <cell r="E264">
            <v>-5.8365694902876603E-2</v>
          </cell>
        </row>
        <row r="265">
          <cell r="B265">
            <v>1.5895707598991601E-2</v>
          </cell>
          <cell r="C265">
            <v>-0.13693739869452801</v>
          </cell>
          <cell r="D265">
            <v>-6.2647901080103999E-2</v>
          </cell>
          <cell r="E265">
            <v>-3.9944940854241703E-2</v>
          </cell>
        </row>
        <row r="266">
          <cell r="B266">
            <v>5.1720640623723203E-2</v>
          </cell>
          <cell r="C266">
            <v>-2.3635395533149601E-2</v>
          </cell>
          <cell r="D266">
            <v>5.5803080164223501E-2</v>
          </cell>
          <cell r="E266">
            <v>-8.6083360348785404E-3</v>
          </cell>
        </row>
        <row r="267">
          <cell r="B267">
            <v>3.1018779915342999E-2</v>
          </cell>
          <cell r="C267">
            <v>0.170558102872992</v>
          </cell>
          <cell r="D267">
            <v>5.93330911124288E-2</v>
          </cell>
          <cell r="E267">
            <v>9.7443343095499096E-2</v>
          </cell>
        </row>
        <row r="268">
          <cell r="B268">
            <v>-4.1615071737898697E-2</v>
          </cell>
          <cell r="C268">
            <v>8.8205435948626204E-2</v>
          </cell>
          <cell r="D268">
            <v>-5.8209162018676097E-2</v>
          </cell>
          <cell r="E268">
            <v>5.7142823607056997E-2</v>
          </cell>
        </row>
        <row r="269">
          <cell r="B269">
            <v>4.80211901511991E-2</v>
          </cell>
          <cell r="C269">
            <v>3.7612616932852602E-2</v>
          </cell>
          <cell r="D269">
            <v>-4.6833999097222197E-2</v>
          </cell>
          <cell r="E269">
            <v>0.15426200039558699</v>
          </cell>
        </row>
        <row r="270">
          <cell r="B270">
            <v>3.46698012830833E-2</v>
          </cell>
          <cell r="C270">
            <v>2.7558629268059898E-2</v>
          </cell>
          <cell r="D270">
            <v>-5.9809711115225202E-3</v>
          </cell>
          <cell r="E270">
            <v>-4.2867454043444997E-2</v>
          </cell>
        </row>
        <row r="271">
          <cell r="B271">
            <v>1.13213168878687E-2</v>
          </cell>
          <cell r="C271">
            <v>0.24816523183515399</v>
          </cell>
          <cell r="D271">
            <v>9.0796641191450894E-2</v>
          </cell>
          <cell r="E271">
            <v>-6.7745693354616101E-3</v>
          </cell>
        </row>
        <row r="272">
          <cell r="B272">
            <v>2.2834706936630401E-2</v>
          </cell>
          <cell r="C272">
            <v>5.5978086197886703E-2</v>
          </cell>
          <cell r="D272">
            <v>1.2625570158164101E-2</v>
          </cell>
          <cell r="E272">
            <v>-1.5156881054874101E-3</v>
          </cell>
        </row>
        <row r="273">
          <cell r="B273">
            <v>2.0196884090601299E-2</v>
          </cell>
          <cell r="C273">
            <v>2.0394457887589399E-2</v>
          </cell>
          <cell r="D273">
            <v>3.8902688730410501E-2</v>
          </cell>
          <cell r="E273">
            <v>7.8178346721810704E-2</v>
          </cell>
        </row>
        <row r="274">
          <cell r="B274">
            <v>-9.8967433031517098E-3</v>
          </cell>
          <cell r="C274">
            <v>-6.0204937913764502E-2</v>
          </cell>
          <cell r="D274">
            <v>-0.122373262789627</v>
          </cell>
          <cell r="E274">
            <v>4.9278409927826998E-2</v>
          </cell>
        </row>
        <row r="275">
          <cell r="B275">
            <v>5.73012954820988E-2</v>
          </cell>
          <cell r="C275">
            <v>3.9386548832640998E-2</v>
          </cell>
          <cell r="D275">
            <v>6.0468440024181301E-2</v>
          </cell>
          <cell r="E275">
            <v>-6.34015237674775E-2</v>
          </cell>
        </row>
        <row r="276">
          <cell r="B276">
            <v>-2.4990137048483602E-2</v>
          </cell>
          <cell r="C276">
            <v>-2.8109399651777198E-2</v>
          </cell>
          <cell r="D276">
            <v>-2.6310009490204799E-2</v>
          </cell>
          <cell r="E276">
            <v>-5.6948429378333401E-2</v>
          </cell>
        </row>
        <row r="277">
          <cell r="B277">
            <v>2.70163042404441E-2</v>
          </cell>
          <cell r="C277">
            <v>0.17902250216139201</v>
          </cell>
          <cell r="D277">
            <v>0.129969231445689</v>
          </cell>
          <cell r="E277">
            <v>8.2795302373435603E-2</v>
          </cell>
        </row>
        <row r="278">
          <cell r="B278">
            <v>-1.42420926998251E-2</v>
          </cell>
          <cell r="C278">
            <v>1.9185165709484999E-2</v>
          </cell>
          <cell r="D278">
            <v>-0.15575508624920401</v>
          </cell>
          <cell r="E278">
            <v>-7.0151091313160902E-3</v>
          </cell>
        </row>
        <row r="279">
          <cell r="B279">
            <v>-5.7544697681375399E-2</v>
          </cell>
          <cell r="C279">
            <v>-4.8578904718754798E-2</v>
          </cell>
          <cell r="D279">
            <v>-8.5522137260636302E-2</v>
          </cell>
          <cell r="E279">
            <v>9.4666208256198897E-2</v>
          </cell>
        </row>
        <row r="280">
          <cell r="B280">
            <v>-7.6249433462898296E-3</v>
          </cell>
          <cell r="C280">
            <v>-5.4133156444252498E-2</v>
          </cell>
          <cell r="D280">
            <v>-8.01847016694619E-2</v>
          </cell>
          <cell r="E280">
            <v>-4.4853159080816801E-2</v>
          </cell>
        </row>
        <row r="281">
          <cell r="B281">
            <v>6.1523826140782903E-2</v>
          </cell>
          <cell r="C281">
            <v>6.7957768228273499E-2</v>
          </cell>
          <cell r="D281">
            <v>4.2358559067253498E-2</v>
          </cell>
          <cell r="E281">
            <v>1.35135004518676E-2</v>
          </cell>
        </row>
        <row r="282">
          <cell r="B282">
            <v>4.9606839467715803E-2</v>
          </cell>
          <cell r="C282">
            <v>3.1247764237878301E-2</v>
          </cell>
          <cell r="D282">
            <v>5.4413890551249497E-2</v>
          </cell>
          <cell r="E282">
            <v>9.36667124430339E-2</v>
          </cell>
        </row>
        <row r="283">
          <cell r="B283">
            <v>2.1666562530640698E-2</v>
          </cell>
          <cell r="C283">
            <v>-1.9837155469775301E-2</v>
          </cell>
          <cell r="D283">
            <v>-2.7116334795429398E-2</v>
          </cell>
          <cell r="E283">
            <v>1.5543989642998499E-2</v>
          </cell>
        </row>
        <row r="284">
          <cell r="B284">
            <v>1.9066444295036102E-2</v>
          </cell>
          <cell r="C284">
            <v>4.2286536356374201E-2</v>
          </cell>
          <cell r="D284">
            <v>9.6808975022983704E-2</v>
          </cell>
          <cell r="E284">
            <v>8.6134422514132697E-2</v>
          </cell>
        </row>
        <row r="285">
          <cell r="B285">
            <v>3.5323687218701501E-2</v>
          </cell>
          <cell r="C285">
            <v>2.3597630341376501E-3</v>
          </cell>
          <cell r="D285">
            <v>2.1406964477142899E-2</v>
          </cell>
          <cell r="E285">
            <v>0.17076541972054099</v>
          </cell>
        </row>
        <row r="286">
          <cell r="B286">
            <v>2.26868719049238E-2</v>
          </cell>
          <cell r="C286">
            <v>7.2947595427908907E-2</v>
          </cell>
          <cell r="D286">
            <v>0.14260921399232299</v>
          </cell>
          <cell r="E286">
            <v>3.8706618621467299E-2</v>
          </cell>
        </row>
        <row r="287">
          <cell r="B287">
            <v>-6.4194256010359201E-3</v>
          </cell>
          <cell r="C287">
            <v>-1.3093049103791299E-2</v>
          </cell>
          <cell r="D287">
            <v>2.80133684339701E-3</v>
          </cell>
          <cell r="E287">
            <v>-8.1798866026804307E-3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7FEB-3521-9249-B7B9-C2FD199110E3}">
  <dimension ref="A1:E13"/>
  <sheetViews>
    <sheetView tabSelected="1" workbookViewId="0">
      <selection activeCell="C5" sqref="C5"/>
    </sheetView>
  </sheetViews>
  <sheetFormatPr baseColWidth="10" defaultColWidth="11" defaultRowHeight="16" x14ac:dyDescent="0.2"/>
  <cols>
    <col min="1" max="8" width="40.6640625" customWidth="1"/>
  </cols>
  <sheetData>
    <row r="1" spans="1:5" x14ac:dyDescent="0.2">
      <c r="A1" s="159" t="s">
        <v>104</v>
      </c>
      <c r="B1" s="159"/>
    </row>
    <row r="2" spans="1:5" ht="35.25" customHeight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t="35.25" customHeight="1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ht="35.25" customHeight="1" x14ac:dyDescent="0.2">
      <c r="A4" t="s">
        <v>10</v>
      </c>
      <c r="B4" s="3">
        <v>33991</v>
      </c>
      <c r="C4" s="3">
        <v>36482</v>
      </c>
      <c r="D4" s="3">
        <v>16816</v>
      </c>
      <c r="E4" s="3">
        <v>38835</v>
      </c>
    </row>
    <row r="5" spans="1:5" ht="60" customHeight="1" x14ac:dyDescent="0.2">
      <c r="A5" t="s">
        <v>11</v>
      </c>
      <c r="B5" s="1" t="s">
        <v>12</v>
      </c>
      <c r="C5" s="2" t="s">
        <v>13</v>
      </c>
      <c r="D5" s="2" t="s">
        <v>14</v>
      </c>
      <c r="E5" s="4" t="s">
        <v>15</v>
      </c>
    </row>
    <row r="6" spans="1:5" ht="35.25" customHeight="1" x14ac:dyDescent="0.2">
      <c r="A6" t="s">
        <v>16</v>
      </c>
      <c r="B6" s="5">
        <f>0.09%</f>
        <v>8.9999999999999998E-4</v>
      </c>
      <c r="C6" t="s">
        <v>17</v>
      </c>
      <c r="D6" t="s">
        <v>17</v>
      </c>
      <c r="E6" s="5">
        <f>0.5%</f>
        <v>5.0000000000000001E-3</v>
      </c>
    </row>
    <row r="7" spans="1:5" ht="35.25" customHeight="1" x14ac:dyDescent="0.2">
      <c r="A7" t="s">
        <v>18</v>
      </c>
      <c r="B7" s="5">
        <f>2%</f>
        <v>0.02</v>
      </c>
      <c r="C7" t="s">
        <v>17</v>
      </c>
      <c r="D7" t="s">
        <v>17</v>
      </c>
      <c r="E7" s="5">
        <f>23%</f>
        <v>0.23</v>
      </c>
    </row>
    <row r="8" spans="1:5" ht="35.25" customHeight="1" x14ac:dyDescent="0.2">
      <c r="A8" t="s">
        <v>19</v>
      </c>
      <c r="B8" t="s">
        <v>20</v>
      </c>
      <c r="C8" t="s">
        <v>21</v>
      </c>
      <c r="D8" t="s">
        <v>17</v>
      </c>
      <c r="E8" t="s">
        <v>22</v>
      </c>
    </row>
    <row r="9" spans="1:5" ht="35.25" customHeight="1" x14ac:dyDescent="0.2">
      <c r="A9" t="s">
        <v>23</v>
      </c>
      <c r="B9" t="s">
        <v>24</v>
      </c>
      <c r="C9" t="s">
        <v>25</v>
      </c>
      <c r="D9" t="s">
        <v>26</v>
      </c>
      <c r="E9" t="s">
        <v>27</v>
      </c>
    </row>
    <row r="10" spans="1:5" ht="35.25" customHeight="1" x14ac:dyDescent="0.2">
      <c r="A10" t="s">
        <v>28</v>
      </c>
      <c r="B10" s="5">
        <f>1.3%</f>
        <v>1.3000000000000001E-2</v>
      </c>
      <c r="C10" s="5">
        <v>7.0000000000000001E-3</v>
      </c>
      <c r="D10" s="6">
        <v>0.06</v>
      </c>
      <c r="E10" s="6">
        <v>0</v>
      </c>
    </row>
    <row r="11" spans="1:5" ht="30" customHeight="1" x14ac:dyDescent="0.2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ht="30" customHeight="1" x14ac:dyDescent="0.2"/>
    <row r="13" spans="1:5" ht="30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8F0B-A36C-2843-B11E-CDA6C2584BD1}">
  <dimension ref="A1:H287"/>
  <sheetViews>
    <sheetView showGridLines="0" workbookViewId="0">
      <pane ySplit="1" topLeftCell="A2" activePane="bottomLeft" state="frozen"/>
      <selection pane="bottomLeft" activeCell="G8" sqref="G8"/>
    </sheetView>
  </sheetViews>
  <sheetFormatPr baseColWidth="10" defaultColWidth="11" defaultRowHeight="16" x14ac:dyDescent="0.2"/>
  <cols>
    <col min="1" max="1" width="9.5" customWidth="1"/>
    <col min="2" max="5" width="12.6640625" style="14" bestFit="1" customWidth="1"/>
  </cols>
  <sheetData>
    <row r="1" spans="1:5" x14ac:dyDescent="0.2">
      <c r="A1" s="9" t="s">
        <v>34</v>
      </c>
      <c r="B1" s="15" t="s">
        <v>35</v>
      </c>
      <c r="C1" s="15" t="s">
        <v>36</v>
      </c>
      <c r="D1" s="15" t="s">
        <v>37</v>
      </c>
      <c r="E1" s="16" t="s">
        <v>38</v>
      </c>
    </row>
    <row r="2" spans="1:5" x14ac:dyDescent="0.2">
      <c r="A2" s="10">
        <v>37288</v>
      </c>
      <c r="B2" s="34">
        <v>-2.0766211039727599E-2</v>
      </c>
      <c r="C2" s="17">
        <v>6.2432280389197702E-2</v>
      </c>
      <c r="D2" s="17">
        <v>2.6359438647104001E-2</v>
      </c>
      <c r="E2" s="18" t="s">
        <v>39</v>
      </c>
    </row>
    <row r="3" spans="1:5" x14ac:dyDescent="0.2">
      <c r="A3" s="11">
        <v>37316</v>
      </c>
      <c r="B3" s="35">
        <v>3.6738892862074699E-2</v>
      </c>
      <c r="C3" s="19">
        <v>-1.9427200120754599E-2</v>
      </c>
      <c r="D3" s="19">
        <v>0.12231207205438401</v>
      </c>
      <c r="E3" s="13" t="s">
        <v>39</v>
      </c>
    </row>
    <row r="4" spans="1:5" x14ac:dyDescent="0.2">
      <c r="A4" s="10">
        <v>37347</v>
      </c>
      <c r="B4" s="34">
        <v>-6.14176259192191E-2</v>
      </c>
      <c r="C4" s="17">
        <v>9.3818149378847901E-2</v>
      </c>
      <c r="D4" s="17">
        <v>-0.14044631067794899</v>
      </c>
      <c r="E4" s="18" t="s">
        <v>39</v>
      </c>
    </row>
    <row r="5" spans="1:5" x14ac:dyDescent="0.2">
      <c r="A5" s="11">
        <v>37377</v>
      </c>
      <c r="B5" s="35">
        <v>-9.0814813521770104E-3</v>
      </c>
      <c r="C5" s="19">
        <v>-2.9413560664279799E-3</v>
      </c>
      <c r="D5" s="19">
        <v>-0.122462979182949</v>
      </c>
      <c r="E5" s="13" t="s">
        <v>39</v>
      </c>
    </row>
    <row r="6" spans="1:5" x14ac:dyDescent="0.2">
      <c r="A6" s="10">
        <v>37408</v>
      </c>
      <c r="B6" s="34">
        <v>-7.2455353808179801E-2</v>
      </c>
      <c r="C6" s="17">
        <v>-1.4561737469356699E-2</v>
      </c>
      <c r="D6" s="17">
        <v>-0.10314744348995999</v>
      </c>
      <c r="E6" s="18" t="s">
        <v>39</v>
      </c>
    </row>
    <row r="7" spans="1:5" x14ac:dyDescent="0.2">
      <c r="A7" s="11">
        <v>37438</v>
      </c>
      <c r="B7" s="35">
        <v>-7.9004275149407693E-2</v>
      </c>
      <c r="C7" s="19">
        <v>2.30079615262309E-2</v>
      </c>
      <c r="D7" s="19">
        <v>-0.20169120205087901</v>
      </c>
      <c r="E7" s="13" t="s">
        <v>39</v>
      </c>
    </row>
    <row r="8" spans="1:5" x14ac:dyDescent="0.2">
      <c r="A8" s="10">
        <v>37469</v>
      </c>
      <c r="B8" s="34">
        <v>4.8814333064943803E-3</v>
      </c>
      <c r="C8" s="17">
        <v>-6.9933442251832699E-3</v>
      </c>
      <c r="D8" s="17">
        <v>-0.28866541700799497</v>
      </c>
      <c r="E8" s="18" t="s">
        <v>39</v>
      </c>
    </row>
    <row r="9" spans="1:5" x14ac:dyDescent="0.2">
      <c r="A9" s="11">
        <v>37500</v>
      </c>
      <c r="B9" s="35">
        <v>-0.11002431825242801</v>
      </c>
      <c r="C9" s="19">
        <v>-0.115633690287957</v>
      </c>
      <c r="D9" s="19">
        <v>-2.7550228159693699E-2</v>
      </c>
      <c r="E9" s="13" t="s">
        <v>39</v>
      </c>
    </row>
    <row r="10" spans="1:5" x14ac:dyDescent="0.2">
      <c r="A10" s="10">
        <v>37530</v>
      </c>
      <c r="B10" s="34">
        <v>8.6448800333713993E-2</v>
      </c>
      <c r="C10" s="17">
        <v>0.15431391078877499</v>
      </c>
      <c r="D10" s="17">
        <v>5.2833089913123098E-2</v>
      </c>
      <c r="E10" s="18" t="s">
        <v>39</v>
      </c>
    </row>
    <row r="11" spans="1:5" x14ac:dyDescent="0.2">
      <c r="A11" s="11">
        <v>37561</v>
      </c>
      <c r="B11" s="35">
        <v>5.7069620704985898E-2</v>
      </c>
      <c r="C11" s="19">
        <v>2.2924838127924799E-2</v>
      </c>
      <c r="D11" s="19">
        <v>0.41163637382934198</v>
      </c>
      <c r="E11" s="13" t="s">
        <v>39</v>
      </c>
    </row>
    <row r="12" spans="1:5" x14ac:dyDescent="0.2">
      <c r="A12" s="10">
        <v>37591</v>
      </c>
      <c r="B12" s="34">
        <v>-6.0332571885028802E-2</v>
      </c>
      <c r="C12" s="17">
        <v>-4.5821856601269598E-2</v>
      </c>
      <c r="D12" s="17">
        <v>-7.4703707894495694E-2</v>
      </c>
      <c r="E12" s="18" t="s">
        <v>39</v>
      </c>
    </row>
    <row r="13" spans="1:5" x14ac:dyDescent="0.2">
      <c r="A13" s="11">
        <v>37622</v>
      </c>
      <c r="B13" s="35">
        <v>-2.7414692683044601E-2</v>
      </c>
      <c r="C13" s="19">
        <v>1.01383668234709E-2</v>
      </c>
      <c r="D13" s="19">
        <v>-8.2405593864846E-2</v>
      </c>
      <c r="E13" s="13" t="s">
        <v>39</v>
      </c>
    </row>
    <row r="14" spans="1:5" x14ac:dyDescent="0.2">
      <c r="A14" s="10">
        <v>37653</v>
      </c>
      <c r="B14" s="34">
        <v>-1.7003608256871701E-2</v>
      </c>
      <c r="C14" s="17">
        <v>6.5829691677976596E-3</v>
      </c>
      <c r="D14" s="17">
        <v>-0.199029225669975</v>
      </c>
      <c r="E14" s="18" t="s">
        <v>39</v>
      </c>
    </row>
    <row r="15" spans="1:5" x14ac:dyDescent="0.2">
      <c r="A15" s="11">
        <v>37681</v>
      </c>
      <c r="B15" s="35">
        <v>8.3575676843328194E-3</v>
      </c>
      <c r="C15" s="19">
        <v>4.2604916184918198E-2</v>
      </c>
      <c r="D15" s="19">
        <v>-3.78749876855922E-3</v>
      </c>
      <c r="E15" s="13" t="s">
        <v>39</v>
      </c>
    </row>
    <row r="16" spans="1:5" x14ac:dyDescent="0.2">
      <c r="A16" s="10">
        <v>37712</v>
      </c>
      <c r="B16" s="34">
        <v>8.1044107180032299E-2</v>
      </c>
      <c r="C16" s="17">
        <v>-3.06851201412645E-2</v>
      </c>
      <c r="D16" s="17">
        <v>0.21825090507189701</v>
      </c>
      <c r="E16" s="18" t="s">
        <v>39</v>
      </c>
    </row>
    <row r="17" spans="1:5" x14ac:dyDescent="0.2">
      <c r="A17" s="11">
        <v>37742</v>
      </c>
      <c r="B17" s="35">
        <v>5.0898709609522599E-2</v>
      </c>
      <c r="C17" s="19">
        <v>3.4115901254228001E-3</v>
      </c>
      <c r="D17" s="19">
        <v>0.13171030538870401</v>
      </c>
      <c r="E17" s="13" t="s">
        <v>39</v>
      </c>
    </row>
    <row r="18" spans="1:5" x14ac:dyDescent="0.2">
      <c r="A18" s="10">
        <v>37773</v>
      </c>
      <c r="B18" s="34">
        <v>1.1322214676852099E-2</v>
      </c>
      <c r="C18" s="17">
        <v>2.5270229177589001E-2</v>
      </c>
      <c r="D18" s="17">
        <v>7.8323211392748102E-2</v>
      </c>
      <c r="E18" s="18" t="s">
        <v>39</v>
      </c>
    </row>
    <row r="19" spans="1:5" x14ac:dyDescent="0.2">
      <c r="A19" s="11">
        <v>37803</v>
      </c>
      <c r="B19" s="35">
        <v>1.62237019585365E-2</v>
      </c>
      <c r="C19" s="19">
        <v>8.6990356603678695E-2</v>
      </c>
      <c r="D19" s="19">
        <v>0.11150892586269601</v>
      </c>
      <c r="E19" s="13" t="s">
        <v>39</v>
      </c>
    </row>
    <row r="20" spans="1:5" x14ac:dyDescent="0.2">
      <c r="A20" s="10">
        <v>37834</v>
      </c>
      <c r="B20" s="34">
        <v>1.7873203593487898E-2</v>
      </c>
      <c r="C20" s="17">
        <v>1.6190813521497E-2</v>
      </c>
      <c r="D20" s="17">
        <v>0.119190105527737</v>
      </c>
      <c r="E20" s="18" t="s">
        <v>39</v>
      </c>
    </row>
    <row r="21" spans="1:5" x14ac:dyDescent="0.2">
      <c r="A21" s="11">
        <v>37865</v>
      </c>
      <c r="B21" s="35">
        <v>-1.19443645855257E-2</v>
      </c>
      <c r="C21" s="19">
        <v>-2.5941177639769601E-2</v>
      </c>
      <c r="D21" s="19">
        <v>-9.0871786919276804E-2</v>
      </c>
      <c r="E21" s="13" t="s">
        <v>39</v>
      </c>
    </row>
    <row r="22" spans="1:5" x14ac:dyDescent="0.2">
      <c r="A22" s="10">
        <v>37895</v>
      </c>
      <c r="B22" s="34">
        <v>5.4961486635716601E-2</v>
      </c>
      <c r="C22" s="17">
        <v>0.14188421938623999</v>
      </c>
      <c r="D22" s="17">
        <v>0.12709184285016201</v>
      </c>
      <c r="E22" s="18" t="s">
        <v>39</v>
      </c>
    </row>
    <row r="23" spans="1:5" x14ac:dyDescent="0.2">
      <c r="A23" s="11">
        <v>37926</v>
      </c>
      <c r="B23" s="35">
        <v>7.1285040713728902E-3</v>
      </c>
      <c r="C23" s="19">
        <v>2.1559832841169199E-3</v>
      </c>
      <c r="D23" s="19">
        <v>0.13483162870886201</v>
      </c>
      <c r="E23" s="13" t="s">
        <v>39</v>
      </c>
    </row>
    <row r="24" spans="1:5" x14ac:dyDescent="0.2">
      <c r="A24" s="10">
        <v>37956</v>
      </c>
      <c r="B24" s="34">
        <v>5.0765540778892101E-2</v>
      </c>
      <c r="C24" s="17">
        <v>8.04015354121419E-2</v>
      </c>
      <c r="D24" s="17">
        <v>3.3946144231493697E-2</v>
      </c>
      <c r="E24" s="18" t="s">
        <v>39</v>
      </c>
    </row>
    <row r="25" spans="1:5" x14ac:dyDescent="0.2">
      <c r="A25" s="11">
        <v>37987</v>
      </c>
      <c r="B25" s="35">
        <v>1.7276386950755299E-2</v>
      </c>
      <c r="C25" s="19">
        <v>-6.9857547953894206E-2</v>
      </c>
      <c r="D25" s="19">
        <v>0.260601709084397</v>
      </c>
      <c r="E25" s="13" t="s">
        <v>39</v>
      </c>
    </row>
    <row r="26" spans="1:5" x14ac:dyDescent="0.2">
      <c r="A26" s="10">
        <v>38018</v>
      </c>
      <c r="B26" s="34">
        <v>1.22089737376105E-2</v>
      </c>
      <c r="C26" s="17">
        <v>-1.35287333145139E-2</v>
      </c>
      <c r="D26" s="17">
        <v>-7.2435908237940397E-2</v>
      </c>
      <c r="E26" s="18" t="s">
        <v>39</v>
      </c>
    </row>
    <row r="27" spans="1:5" x14ac:dyDescent="0.2">
      <c r="A27" s="11">
        <v>38047</v>
      </c>
      <c r="B27" s="35">
        <v>-1.6358919617866799E-2</v>
      </c>
      <c r="C27" s="19">
        <v>5.4070756877221002E-2</v>
      </c>
      <c r="D27" s="19">
        <v>-7.4875636606881193E-2</v>
      </c>
      <c r="E27" s="13" t="s">
        <v>39</v>
      </c>
    </row>
    <row r="28" spans="1:5" x14ac:dyDescent="0.2">
      <c r="A28" s="10">
        <v>38078</v>
      </c>
      <c r="B28" s="34">
        <v>-1.67907519603482E-2</v>
      </c>
      <c r="C28" s="17">
        <v>5.63088396937532E-2</v>
      </c>
      <c r="D28" s="17">
        <v>-0.14606411395799099</v>
      </c>
      <c r="E28" s="18" t="s">
        <v>39</v>
      </c>
    </row>
    <row r="29" spans="1:5" x14ac:dyDescent="0.2">
      <c r="A29" s="11">
        <v>38108</v>
      </c>
      <c r="B29" s="35">
        <v>1.20834500973541E-2</v>
      </c>
      <c r="C29" s="19">
        <v>-2.2201939742235801E-2</v>
      </c>
      <c r="D29" s="19">
        <v>-4.8500323483689399E-2</v>
      </c>
      <c r="E29" s="13" t="s">
        <v>39</v>
      </c>
    </row>
    <row r="30" spans="1:5" x14ac:dyDescent="0.2">
      <c r="A30" s="10">
        <v>38139</v>
      </c>
      <c r="B30" s="34">
        <v>1.7988998771432601E-2</v>
      </c>
      <c r="C30" s="17">
        <v>6.9081650288652194E-2</v>
      </c>
      <c r="D30" s="17">
        <v>0.139299410080227</v>
      </c>
      <c r="E30" s="18" t="s">
        <v>39</v>
      </c>
    </row>
    <row r="31" spans="1:5" x14ac:dyDescent="0.2">
      <c r="A31" s="11">
        <v>38169</v>
      </c>
      <c r="B31" s="35">
        <v>-3.4290519520026298E-2</v>
      </c>
      <c r="C31" s="19">
        <v>-8.4990311580471198E-2</v>
      </c>
      <c r="D31" s="19">
        <v>-0.18681715278480401</v>
      </c>
      <c r="E31" s="13" t="s">
        <v>39</v>
      </c>
    </row>
    <row r="32" spans="1:5" x14ac:dyDescent="0.2">
      <c r="A32" s="10">
        <v>38200</v>
      </c>
      <c r="B32" s="34">
        <v>2.2873503233691301E-3</v>
      </c>
      <c r="C32" s="17">
        <v>0</v>
      </c>
      <c r="D32" s="17">
        <v>-0.13901709677559601</v>
      </c>
      <c r="E32" s="18" t="s">
        <v>39</v>
      </c>
    </row>
    <row r="33" spans="1:5" x14ac:dyDescent="0.2">
      <c r="A33" s="11">
        <v>38231</v>
      </c>
      <c r="B33" s="35">
        <v>9.3638755268388198E-3</v>
      </c>
      <c r="C33" s="19">
        <v>-2.4556334973889E-2</v>
      </c>
      <c r="D33" s="19">
        <v>5.2195359645930597E-2</v>
      </c>
      <c r="E33" s="13" t="s">
        <v>39</v>
      </c>
    </row>
    <row r="34" spans="1:5" x14ac:dyDescent="0.2">
      <c r="A34" s="10">
        <v>38261</v>
      </c>
      <c r="B34" s="34">
        <v>1.4014243690939799E-2</v>
      </c>
      <c r="C34" s="17">
        <v>-3.0010848584279701E-2</v>
      </c>
      <c r="D34" s="17">
        <v>0.16179830799290201</v>
      </c>
      <c r="E34" s="18" t="s">
        <v>39</v>
      </c>
    </row>
    <row r="35" spans="1:5" x14ac:dyDescent="0.2">
      <c r="A35" s="11">
        <v>38292</v>
      </c>
      <c r="B35" s="35">
        <v>3.8594936295970501E-2</v>
      </c>
      <c r="C35" s="19">
        <v>2.6040827100938201E-2</v>
      </c>
      <c r="D35" s="19">
        <v>-8.65917267947348E-2</v>
      </c>
      <c r="E35" s="13" t="s">
        <v>39</v>
      </c>
    </row>
    <row r="36" spans="1:5" x14ac:dyDescent="0.2">
      <c r="A36" s="10">
        <v>38322</v>
      </c>
      <c r="B36" s="34">
        <v>3.24582128432052E-2</v>
      </c>
      <c r="C36" s="17">
        <v>3.5719666915328997E-2</v>
      </c>
      <c r="D36" s="17">
        <v>5.2861316276944501E-2</v>
      </c>
      <c r="E36" s="18" t="s">
        <v>39</v>
      </c>
    </row>
    <row r="37" spans="1:5" x14ac:dyDescent="0.2">
      <c r="A37" s="11">
        <v>38353</v>
      </c>
      <c r="B37" s="35">
        <v>-2.5290467442294001E-2</v>
      </c>
      <c r="C37" s="19">
        <v>2.7903123362553999E-2</v>
      </c>
      <c r="D37" s="19">
        <v>-8.2572709396685304E-2</v>
      </c>
      <c r="E37" s="13" t="s">
        <v>39</v>
      </c>
    </row>
    <row r="38" spans="1:5" x14ac:dyDescent="0.2">
      <c r="A38" s="10">
        <v>38384</v>
      </c>
      <c r="B38" s="34">
        <v>1.8903346132113301E-2</v>
      </c>
      <c r="C38" s="17">
        <v>-4.9787405697830902E-3</v>
      </c>
      <c r="D38" s="17">
        <v>8.54813860562251E-2</v>
      </c>
      <c r="E38" s="18" t="s">
        <v>39</v>
      </c>
    </row>
    <row r="39" spans="1:5" x14ac:dyDescent="0.2">
      <c r="A39" s="11">
        <v>38412</v>
      </c>
      <c r="B39" s="35">
        <v>-1.9117655560289701E-2</v>
      </c>
      <c r="C39" s="19">
        <v>2.59742017770879E-2</v>
      </c>
      <c r="D39" s="19">
        <v>-7.4999779351127796E-2</v>
      </c>
      <c r="E39" s="13" t="s">
        <v>39</v>
      </c>
    </row>
    <row r="40" spans="1:5" x14ac:dyDescent="0.2">
      <c r="A40" s="10">
        <v>38443</v>
      </c>
      <c r="B40" s="34">
        <v>-2.01085820832635E-2</v>
      </c>
      <c r="C40" s="17">
        <v>-0.10759715026220899</v>
      </c>
      <c r="D40" s="17">
        <v>-6.5315207218879706E-2</v>
      </c>
      <c r="E40" s="18" t="s">
        <v>39</v>
      </c>
    </row>
    <row r="41" spans="1:5" x14ac:dyDescent="0.2">
      <c r="A41" s="11">
        <v>38473</v>
      </c>
      <c r="B41" s="35">
        <v>2.9952046631208699E-2</v>
      </c>
      <c r="C41" s="19">
        <v>2.35450280451954E-3</v>
      </c>
      <c r="D41" s="19">
        <v>0.157108113733995</v>
      </c>
      <c r="E41" s="13" t="s">
        <v>39</v>
      </c>
    </row>
    <row r="42" spans="1:5" x14ac:dyDescent="0.2">
      <c r="A42" s="10">
        <v>38504</v>
      </c>
      <c r="B42" s="34">
        <v>-1.42714179867776E-4</v>
      </c>
      <c r="C42" s="17">
        <v>-5.1579666955271997E-2</v>
      </c>
      <c r="D42" s="17">
        <v>-4.1232409919398201E-2</v>
      </c>
      <c r="E42" s="18" t="s">
        <v>39</v>
      </c>
    </row>
    <row r="43" spans="1:5" x14ac:dyDescent="0.2">
      <c r="A43" s="11">
        <v>38534</v>
      </c>
      <c r="B43" s="35">
        <v>3.5968286903618397E-2</v>
      </c>
      <c r="C43" s="19">
        <v>3.7344756117698698E-2</v>
      </c>
      <c r="D43" s="19">
        <v>0.13987752625196001</v>
      </c>
      <c r="E43" s="13" t="s">
        <v>39</v>
      </c>
    </row>
    <row r="44" spans="1:5" x14ac:dyDescent="0.2">
      <c r="A44" s="10">
        <v>38565</v>
      </c>
      <c r="B44" s="34">
        <v>-1.12221045986001E-2</v>
      </c>
      <c r="C44" s="17">
        <v>-5.1333705353451803E-2</v>
      </c>
      <c r="D44" s="17">
        <v>0.225610772749716</v>
      </c>
      <c r="E44" s="18" t="s">
        <v>39</v>
      </c>
    </row>
    <row r="45" spans="1:5" x14ac:dyDescent="0.2">
      <c r="A45" s="11">
        <v>38596</v>
      </c>
      <c r="B45" s="35">
        <v>6.9490243167336097E-3</v>
      </c>
      <c r="C45" s="19">
        <v>3.7140394276428602E-2</v>
      </c>
      <c r="D45" s="19">
        <v>1.83453171854739E-2</v>
      </c>
      <c r="E45" s="13" t="s">
        <v>39</v>
      </c>
    </row>
    <row r="46" spans="1:5" x14ac:dyDescent="0.2">
      <c r="A46" s="10">
        <v>38626</v>
      </c>
      <c r="B46" s="34">
        <v>-1.7740779932313499E-2</v>
      </c>
      <c r="C46" s="17">
        <v>3.5713913571638903E-2</v>
      </c>
      <c r="D46" s="17">
        <v>-2.2595543391412901E-2</v>
      </c>
      <c r="E46" s="18" t="s">
        <v>39</v>
      </c>
    </row>
    <row r="47" spans="1:5" x14ac:dyDescent="0.2">
      <c r="A47" s="11">
        <v>38657</v>
      </c>
      <c r="B47" s="35">
        <v>3.5186096519093303E-2</v>
      </c>
      <c r="C47" s="19">
        <v>3.2903316467798503E-2</v>
      </c>
      <c r="D47" s="19">
        <v>0.114027421104445</v>
      </c>
      <c r="E47" s="13" t="s">
        <v>39</v>
      </c>
    </row>
    <row r="48" spans="1:5" x14ac:dyDescent="0.2">
      <c r="A48" s="10">
        <v>38687</v>
      </c>
      <c r="B48" s="34">
        <v>-9.5234931719645499E-4</v>
      </c>
      <c r="C48" s="17">
        <v>-7.2244025380663298E-3</v>
      </c>
      <c r="D48" s="17">
        <v>-6.6460869381131604E-2</v>
      </c>
      <c r="E48" s="18" t="s">
        <v>39</v>
      </c>
    </row>
    <row r="49" spans="1:8" x14ac:dyDescent="0.2">
      <c r="A49" s="11">
        <v>38718</v>
      </c>
      <c r="B49" s="35">
        <v>2.5466771341108099E-2</v>
      </c>
      <c r="C49" s="19">
        <v>-6.1290144599521597E-2</v>
      </c>
      <c r="D49" s="19">
        <v>1.8624321472179298E-2</v>
      </c>
      <c r="E49" s="13" t="s">
        <v>39</v>
      </c>
    </row>
    <row r="50" spans="1:8" x14ac:dyDescent="0.2">
      <c r="A50" s="10">
        <v>38749</v>
      </c>
      <c r="B50" s="34">
        <v>4.5315772835619002E-4</v>
      </c>
      <c r="C50" s="17">
        <v>1.15460565021557E-2</v>
      </c>
      <c r="D50" s="17">
        <v>6.1633340735338403E-2</v>
      </c>
      <c r="E50" s="18" t="s">
        <v>39</v>
      </c>
    </row>
    <row r="51" spans="1:8" x14ac:dyDescent="0.2">
      <c r="A51" s="11">
        <v>38777</v>
      </c>
      <c r="B51" s="35">
        <v>1.10958104088896E-2</v>
      </c>
      <c r="C51" s="19">
        <v>3.50407256388598E-2</v>
      </c>
      <c r="D51" s="19">
        <v>4.3055246118837799E-2</v>
      </c>
      <c r="E51" s="13" t="s">
        <v>39</v>
      </c>
    </row>
    <row r="52" spans="1:8" x14ac:dyDescent="0.2">
      <c r="A52" s="10">
        <v>38808</v>
      </c>
      <c r="B52" s="34">
        <v>1.2155652917844199E-2</v>
      </c>
      <c r="C52" s="17">
        <v>0.12868339437908199</v>
      </c>
      <c r="D52" s="17">
        <v>2.3169267279376599E-2</v>
      </c>
      <c r="E52" s="18" t="s">
        <v>39</v>
      </c>
    </row>
    <row r="53" spans="1:8" x14ac:dyDescent="0.2">
      <c r="A53" s="11">
        <v>38838</v>
      </c>
      <c r="B53" s="35">
        <v>-3.09169165382032E-2</v>
      </c>
      <c r="C53" s="19">
        <v>-2.0718906424124901E-2</v>
      </c>
      <c r="D53" s="19">
        <v>-9.1879086044305003E-2</v>
      </c>
      <c r="E53" s="13">
        <v>-8.5722559492787703E-2</v>
      </c>
      <c r="H53" s="22"/>
    </row>
    <row r="54" spans="1:8" x14ac:dyDescent="0.2">
      <c r="A54" s="10">
        <v>38869</v>
      </c>
      <c r="B54" s="34">
        <v>8.6596504595970499E-5</v>
      </c>
      <c r="C54" s="17">
        <v>-2.9398320187553499E-2</v>
      </c>
      <c r="D54" s="17">
        <v>-9.5442858364914798E-2</v>
      </c>
      <c r="E54" s="18">
        <v>-0.11791259818246</v>
      </c>
    </row>
    <row r="55" spans="1:8" x14ac:dyDescent="0.2">
      <c r="A55" s="11">
        <v>38899</v>
      </c>
      <c r="B55" s="35">
        <v>5.0858788034533501E-3</v>
      </c>
      <c r="C55" s="19">
        <v>-0.12838981439791899</v>
      </c>
      <c r="D55" s="19">
        <v>-9.8859133687666606E-2</v>
      </c>
      <c r="E55" s="13">
        <v>2.4777809893213199E-2</v>
      </c>
    </row>
    <row r="56" spans="1:8" x14ac:dyDescent="0.2">
      <c r="A56" s="10">
        <v>38930</v>
      </c>
      <c r="B56" s="34">
        <v>2.1274193115026398E-2</v>
      </c>
      <c r="C56" s="17">
        <v>1.8466342827047299E-2</v>
      </c>
      <c r="D56" s="17">
        <v>0.13080168776371301</v>
      </c>
      <c r="E56" s="18">
        <v>0.13079281958010799</v>
      </c>
    </row>
    <row r="57" spans="1:8" x14ac:dyDescent="0.2">
      <c r="A57" s="11">
        <v>38961</v>
      </c>
      <c r="B57" s="35">
        <v>2.45662979677823E-2</v>
      </c>
      <c r="C57" s="19">
        <v>4.4676423163026301E-2</v>
      </c>
      <c r="D57" s="19">
        <v>1.64797941120189E-2</v>
      </c>
      <c r="E57" s="13">
        <v>-0.112875718903682</v>
      </c>
    </row>
    <row r="58" spans="1:8" x14ac:dyDescent="0.2">
      <c r="A58" s="10">
        <v>38991</v>
      </c>
      <c r="B58" s="34">
        <v>3.15080035853956E-2</v>
      </c>
      <c r="C58" s="17">
        <v>5.9393102546449798E-2</v>
      </c>
      <c r="D58" s="17">
        <v>8.9018245596940396E-2</v>
      </c>
      <c r="E58" s="18">
        <v>7.1347429934795994E-2</v>
      </c>
    </row>
    <row r="59" spans="1:8" x14ac:dyDescent="0.2">
      <c r="A59" s="11">
        <v>39022</v>
      </c>
      <c r="B59" s="35">
        <v>1.6466656343095999E-2</v>
      </c>
      <c r="C59" s="19">
        <v>3.3231663505970399E-2</v>
      </c>
      <c r="D59" s="19">
        <v>-0.105618198903002</v>
      </c>
      <c r="E59" s="13">
        <v>0.13857196051284501</v>
      </c>
    </row>
    <row r="60" spans="1:8" x14ac:dyDescent="0.2">
      <c r="A60" s="10">
        <v>39052</v>
      </c>
      <c r="B60" s="34">
        <v>1.26157828146705E-2</v>
      </c>
      <c r="C60" s="17">
        <v>-3.7895913218105398E-2</v>
      </c>
      <c r="D60" s="17">
        <v>0.161656995533868</v>
      </c>
      <c r="E60" s="18">
        <v>-7.9037804910521398E-2</v>
      </c>
    </row>
    <row r="61" spans="1:8" x14ac:dyDescent="0.2">
      <c r="A61" s="11">
        <v>39083</v>
      </c>
      <c r="B61" s="35">
        <v>1.4059043023178E-2</v>
      </c>
      <c r="C61" s="19">
        <v>-4.6580762482871699E-2</v>
      </c>
      <c r="D61" s="19">
        <v>-8.1778923967554998E-2</v>
      </c>
      <c r="E61" s="13">
        <v>5.06840374168889E-2</v>
      </c>
    </row>
    <row r="62" spans="1:8" x14ac:dyDescent="0.2">
      <c r="A62" s="10">
        <v>39114</v>
      </c>
      <c r="B62" s="34">
        <v>-2.1846175991944401E-2</v>
      </c>
      <c r="C62" s="17">
        <v>-2.9607124536035201E-3</v>
      </c>
      <c r="D62" s="17">
        <v>-7.8130180389516194E-3</v>
      </c>
      <c r="E62" s="18">
        <v>4.5057725308912201E-2</v>
      </c>
    </row>
    <row r="63" spans="1:8" x14ac:dyDescent="0.2">
      <c r="A63" s="11">
        <v>39142</v>
      </c>
      <c r="B63" s="35">
        <v>9.9799829392064297E-3</v>
      </c>
      <c r="C63" s="19">
        <v>3.82303336486449E-2</v>
      </c>
      <c r="D63" s="19">
        <v>6.1102849908511302E-2</v>
      </c>
      <c r="E63" s="13">
        <v>-5.4725646972656201E-2</v>
      </c>
    </row>
    <row r="64" spans="1:8" x14ac:dyDescent="0.2">
      <c r="A64" s="10">
        <v>39173</v>
      </c>
      <c r="B64" s="34">
        <v>4.3290690426759801E-2</v>
      </c>
      <c r="C64" s="17">
        <v>8.2951060058988696E-2</v>
      </c>
      <c r="D64" s="17">
        <v>2.01837776836651E-2</v>
      </c>
      <c r="E64" s="18">
        <v>-1.2732323294730699E-3</v>
      </c>
    </row>
    <row r="65" spans="1:5" x14ac:dyDescent="0.2">
      <c r="A65" s="11">
        <v>39203</v>
      </c>
      <c r="B65" s="35">
        <v>3.2549228707361703E-2</v>
      </c>
      <c r="C65" s="19">
        <v>6.2704661346997301E-2</v>
      </c>
      <c r="D65" s="19">
        <v>0.11056175886019</v>
      </c>
      <c r="E65" s="13">
        <v>3.5995752198010301E-3</v>
      </c>
    </row>
    <row r="66" spans="1:5" x14ac:dyDescent="0.2">
      <c r="A66" s="10">
        <v>39234</v>
      </c>
      <c r="B66" s="34">
        <v>-1.7816322547885E-2</v>
      </c>
      <c r="C66" s="17">
        <v>-7.7744904386296597E-3</v>
      </c>
      <c r="D66" s="17">
        <v>7.0732764009464599E-3</v>
      </c>
      <c r="E66" s="18">
        <v>-7.7187473923246999E-2</v>
      </c>
    </row>
    <row r="67" spans="1:5" x14ac:dyDescent="0.2">
      <c r="A67" s="11">
        <v>39264</v>
      </c>
      <c r="B67" s="35">
        <v>-3.1981878361988299E-2</v>
      </c>
      <c r="C67" s="19">
        <v>2.4542086914626199E-2</v>
      </c>
      <c r="D67" s="19">
        <v>-7.5439757500955799E-3</v>
      </c>
      <c r="E67" s="13">
        <v>3.6599161971268702E-2</v>
      </c>
    </row>
    <row r="68" spans="1:5" x14ac:dyDescent="0.2">
      <c r="A68" s="10">
        <v>39295</v>
      </c>
      <c r="B68" s="34">
        <v>1.28635720188579E-2</v>
      </c>
      <c r="C68" s="17">
        <v>2.32791596837882E-2</v>
      </c>
      <c r="D68" s="17">
        <v>-4.5871384971456597E-2</v>
      </c>
      <c r="E68" s="18">
        <v>-6.28026791081856E-2</v>
      </c>
    </row>
    <row r="69" spans="1:5" x14ac:dyDescent="0.2">
      <c r="A69" s="11">
        <v>39326</v>
      </c>
      <c r="B69" s="35">
        <v>3.5794008178600803E-2</v>
      </c>
      <c r="C69" s="19">
        <v>3.40760561841498E-2</v>
      </c>
      <c r="D69" s="19">
        <v>1.31863949464135E-2</v>
      </c>
      <c r="E69" s="13">
        <v>0.138106315051926</v>
      </c>
    </row>
    <row r="70" spans="1:5" x14ac:dyDescent="0.2">
      <c r="A70" s="10">
        <v>39356</v>
      </c>
      <c r="B70" s="34">
        <v>1.4822338223554801E-2</v>
      </c>
      <c r="C70" s="17">
        <v>-7.7153598816412997E-2</v>
      </c>
      <c r="D70" s="17">
        <v>-8.1313873341437603E-4</v>
      </c>
      <c r="E70" s="18">
        <v>5.1629435188033798E-2</v>
      </c>
    </row>
    <row r="71" spans="1:5" x14ac:dyDescent="0.2">
      <c r="A71" s="11">
        <v>39387</v>
      </c>
      <c r="B71" s="35">
        <v>-4.4043417379415799E-2</v>
      </c>
      <c r="C71" s="19">
        <v>-3.5896240708762302E-2</v>
      </c>
      <c r="D71" s="19">
        <v>2.6594220615833199E-2</v>
      </c>
      <c r="E71" s="13">
        <v>-3.2033429606182301E-2</v>
      </c>
    </row>
    <row r="72" spans="1:5" x14ac:dyDescent="0.2">
      <c r="A72" s="10">
        <v>39417</v>
      </c>
      <c r="B72" s="34">
        <v>-8.62850856129793E-3</v>
      </c>
      <c r="C72" s="17">
        <v>1.8716089933814399E-2</v>
      </c>
      <c r="D72" s="17">
        <v>-2.8813405895552001E-2</v>
      </c>
      <c r="E72" s="18">
        <v>5.7338126130086903E-2</v>
      </c>
    </row>
    <row r="73" spans="1:5" x14ac:dyDescent="0.2">
      <c r="A73" s="11">
        <v>39448</v>
      </c>
      <c r="B73" s="35">
        <v>-6.1163432277769901E-2</v>
      </c>
      <c r="C73" s="19">
        <v>-5.5384343251558499E-2</v>
      </c>
      <c r="D73" s="19">
        <v>-7.8388107768811402E-2</v>
      </c>
      <c r="E73" s="13">
        <v>0.14431525539583301</v>
      </c>
    </row>
    <row r="74" spans="1:5" x14ac:dyDescent="0.2">
      <c r="A74" s="10">
        <v>39479</v>
      </c>
      <c r="B74" s="34">
        <v>-3.4761192737288199E-2</v>
      </c>
      <c r="C74" s="17">
        <v>-1.5693305696510298E-2</v>
      </c>
      <c r="D74" s="17">
        <v>-9.5983875832779605E-2</v>
      </c>
      <c r="E74" s="18">
        <v>0.16946119274949001</v>
      </c>
    </row>
    <row r="75" spans="1:5" x14ac:dyDescent="0.2">
      <c r="A75" s="11">
        <v>39508</v>
      </c>
      <c r="B75" s="35">
        <v>-5.9596233978174203E-3</v>
      </c>
      <c r="C75" s="19">
        <v>1.5927691674722001E-2</v>
      </c>
      <c r="D75" s="19">
        <v>-2.5481558990424799E-2</v>
      </c>
      <c r="E75" s="13">
        <v>-0.133567164897026</v>
      </c>
    </row>
    <row r="76" spans="1:5" x14ac:dyDescent="0.2">
      <c r="A76" s="10">
        <v>39539</v>
      </c>
      <c r="B76" s="34">
        <v>4.7546697641229103E-2</v>
      </c>
      <c r="C76" s="17">
        <v>-2.8426875296328601E-2</v>
      </c>
      <c r="D76" s="17">
        <v>1.2738382485305099E-2</v>
      </c>
      <c r="E76" s="18">
        <v>-1.8836984094720701E-2</v>
      </c>
    </row>
    <row r="77" spans="1:5" x14ac:dyDescent="0.2">
      <c r="A77" s="11">
        <v>39569</v>
      </c>
      <c r="B77" s="35">
        <v>1.0674181704068499E-2</v>
      </c>
      <c r="C77" s="19">
        <v>8.5826548135890003E-3</v>
      </c>
      <c r="D77" s="19">
        <v>0.23767063128620999</v>
      </c>
      <c r="E77" s="13">
        <v>-2.8109437554578701E-3</v>
      </c>
    </row>
    <row r="78" spans="1:5" x14ac:dyDescent="0.2">
      <c r="A78" s="10">
        <v>39600</v>
      </c>
      <c r="B78" s="34">
        <v>-8.5962384826314506E-2</v>
      </c>
      <c r="C78" s="17">
        <v>-9.6934963741589997E-2</v>
      </c>
      <c r="D78" s="17">
        <v>-4.9478717662466698E-2</v>
      </c>
      <c r="E78" s="18">
        <v>3.53865615491427E-2</v>
      </c>
    </row>
    <row r="79" spans="1:5" x14ac:dyDescent="0.2">
      <c r="A79" s="11">
        <v>39630</v>
      </c>
      <c r="B79" s="35">
        <v>-9.8593711853027805E-3</v>
      </c>
      <c r="C79" s="19">
        <v>1.1495223512393699E-2</v>
      </c>
      <c r="D79" s="19">
        <v>1.4631499229165601E-2</v>
      </c>
      <c r="E79" s="13">
        <v>1.54666159307304E-2</v>
      </c>
    </row>
    <row r="80" spans="1:5" x14ac:dyDescent="0.2">
      <c r="A80" s="10">
        <v>39661</v>
      </c>
      <c r="B80" s="34">
        <v>1.2190464669121499E-2</v>
      </c>
      <c r="C80" s="17">
        <v>1.7190543357461101E-2</v>
      </c>
      <c r="D80" s="17">
        <v>-3.6051347260510097E-2</v>
      </c>
      <c r="E80" s="18">
        <v>-0.237307509306349</v>
      </c>
    </row>
    <row r="81" spans="1:5" x14ac:dyDescent="0.2">
      <c r="A81" s="11">
        <v>39692</v>
      </c>
      <c r="B81" s="35">
        <v>-9.0791433543792197E-2</v>
      </c>
      <c r="C81" s="19">
        <v>-3.92133366349776E-2</v>
      </c>
      <c r="D81" s="19">
        <v>-0.14672057530173599</v>
      </c>
      <c r="E81" s="13">
        <v>-0.113687323642471</v>
      </c>
    </row>
    <row r="82" spans="1:5" x14ac:dyDescent="0.2">
      <c r="A82" s="10">
        <v>39722</v>
      </c>
      <c r="B82" s="34">
        <v>-0.169424524017771</v>
      </c>
      <c r="C82" s="17">
        <v>-5.8703048287048802E-2</v>
      </c>
      <c r="D82" s="17">
        <v>-0.25185435870805101</v>
      </c>
      <c r="E82" s="18">
        <v>-0.19156121389779501</v>
      </c>
    </row>
    <row r="83" spans="1:5" x14ac:dyDescent="0.2">
      <c r="A83" s="11">
        <v>39753</v>
      </c>
      <c r="B83" s="35">
        <v>-7.4849042338709704E-2</v>
      </c>
      <c r="C83" s="19">
        <v>4.0902240972654297E-2</v>
      </c>
      <c r="D83" s="19">
        <v>-0.151419013508969</v>
      </c>
      <c r="E83" s="13">
        <v>6.7849647568558602E-2</v>
      </c>
    </row>
    <row r="84" spans="1:5" x14ac:dyDescent="0.2">
      <c r="A84" s="10">
        <v>39783</v>
      </c>
      <c r="B84" s="34">
        <v>7.8215766334994701E-3</v>
      </c>
      <c r="C84" s="17">
        <v>-0.13332564313167899</v>
      </c>
      <c r="D84" s="17">
        <v>-0.16994178793018999</v>
      </c>
      <c r="E84" s="18">
        <v>9.4819189680702701E-2</v>
      </c>
    </row>
    <row r="85" spans="1:5" x14ac:dyDescent="0.2">
      <c r="A85" s="11">
        <v>39814</v>
      </c>
      <c r="B85" s="35">
        <v>-8.5657343058054294E-2</v>
      </c>
      <c r="C85" s="19">
        <v>-6.5172430410236598E-2</v>
      </c>
      <c r="D85" s="19">
        <v>0.15674973820622301</v>
      </c>
      <c r="E85" s="13">
        <v>0.117857202765894</v>
      </c>
    </row>
    <row r="86" spans="1:5" x14ac:dyDescent="0.2">
      <c r="A86" s="10">
        <v>39845</v>
      </c>
      <c r="B86" s="34">
        <v>-0.109931197620199</v>
      </c>
      <c r="C86" s="17">
        <v>-0.154861153324477</v>
      </c>
      <c r="D86" s="17">
        <v>-0.23285379086990801</v>
      </c>
      <c r="E86" s="18">
        <v>2.8753965136958801E-2</v>
      </c>
    </row>
    <row r="87" spans="1:5" x14ac:dyDescent="0.2">
      <c r="A87" s="11">
        <v>39873</v>
      </c>
      <c r="B87" s="35">
        <v>8.5404461995322895E-2</v>
      </c>
      <c r="C87" s="19">
        <v>0.105599519916466</v>
      </c>
      <c r="D87" s="19">
        <v>0.108147098281906</v>
      </c>
      <c r="E87" s="13">
        <v>-6.9875894245515803E-3</v>
      </c>
    </row>
    <row r="88" spans="1:5" x14ac:dyDescent="0.2">
      <c r="A88" s="10">
        <v>39904</v>
      </c>
      <c r="B88" s="34">
        <v>9.3925079148263299E-2</v>
      </c>
      <c r="C88" s="17">
        <v>0.15848737376272101</v>
      </c>
      <c r="D88" s="17">
        <v>0.18802833169081201</v>
      </c>
      <c r="E88" s="18">
        <v>-4.5347922238931998E-2</v>
      </c>
    </row>
    <row r="89" spans="1:5" x14ac:dyDescent="0.2">
      <c r="A89" s="11">
        <v>39934</v>
      </c>
      <c r="B89" s="35">
        <v>5.30814463851665E-2</v>
      </c>
      <c r="C89" s="19">
        <v>-8.6807093725863593E-3</v>
      </c>
      <c r="D89" s="19">
        <v>-1.64280125967275E-3</v>
      </c>
      <c r="E89" s="13">
        <v>0.26699428490555399</v>
      </c>
    </row>
    <row r="90" spans="1:5" x14ac:dyDescent="0.2">
      <c r="A90" s="10">
        <v>39965</v>
      </c>
      <c r="B90" s="34">
        <v>1.9582726560996E-4</v>
      </c>
      <c r="C90" s="17">
        <v>6.1717390387173901E-2</v>
      </c>
      <c r="D90" s="17">
        <v>0.114097421439302</v>
      </c>
      <c r="E90" s="18">
        <v>-0.135100201455219</v>
      </c>
    </row>
    <row r="91" spans="1:5" x14ac:dyDescent="0.2">
      <c r="A91" s="11">
        <v>39995</v>
      </c>
      <c r="B91" s="35">
        <v>7.4141727147784206E-2</v>
      </c>
      <c r="C91" s="19">
        <v>0.17337755873598601</v>
      </c>
      <c r="D91" s="19">
        <v>0.14327938116496899</v>
      </c>
      <c r="E91" s="13">
        <v>2.39162699616755E-2</v>
      </c>
    </row>
    <row r="92" spans="1:5" x14ac:dyDescent="0.2">
      <c r="A92" s="10">
        <v>40026</v>
      </c>
      <c r="B92" s="34">
        <v>3.35601888685442E-2</v>
      </c>
      <c r="C92" s="17">
        <v>2.2404779292377601E-2</v>
      </c>
      <c r="D92" s="17">
        <v>0.105942828153249</v>
      </c>
      <c r="E92" s="18">
        <v>6.7153291175358995E-2</v>
      </c>
    </row>
    <row r="93" spans="1:5" x14ac:dyDescent="0.2">
      <c r="A93" s="11">
        <v>40057</v>
      </c>
      <c r="B93" s="35">
        <v>3.5723345723119602E-2</v>
      </c>
      <c r="C93" s="19">
        <v>3.1052976068430199E-2</v>
      </c>
      <c r="D93" s="19">
        <v>8.3723245372449698E-2</v>
      </c>
      <c r="E93" s="13">
        <v>0.120382988302617</v>
      </c>
    </row>
    <row r="94" spans="1:5" x14ac:dyDescent="0.2">
      <c r="A94" s="10">
        <v>40087</v>
      </c>
      <c r="B94" s="34">
        <v>-1.9762000526814202E-2</v>
      </c>
      <c r="C94" s="17">
        <v>-3.1163382575107902E-3</v>
      </c>
      <c r="D94" s="17">
        <v>-0.111031547362023</v>
      </c>
      <c r="E94" s="18">
        <v>-1.89254872909209E-2</v>
      </c>
    </row>
    <row r="95" spans="1:5" x14ac:dyDescent="0.2">
      <c r="A95" s="11">
        <v>40118</v>
      </c>
      <c r="B95" s="35">
        <v>5.7364061453727598E-2</v>
      </c>
      <c r="C95" s="19">
        <v>5.2602538552194697E-2</v>
      </c>
      <c r="D95" s="19">
        <v>0.16895723707834401</v>
      </c>
      <c r="E95" s="13">
        <v>0.12943372515283699</v>
      </c>
    </row>
    <row r="96" spans="1:5" x14ac:dyDescent="0.2">
      <c r="A96" s="10">
        <v>40148</v>
      </c>
      <c r="B96" s="34">
        <v>1.7770570919338299E-2</v>
      </c>
      <c r="C96" s="17">
        <v>7.4492144535510701E-2</v>
      </c>
      <c r="D96" s="17">
        <v>7.4343343018920593E-2</v>
      </c>
      <c r="E96" s="18">
        <v>-8.8705164564257005E-2</v>
      </c>
    </row>
    <row r="97" spans="1:5" x14ac:dyDescent="0.2">
      <c r="A97" s="11">
        <v>40179</v>
      </c>
      <c r="B97" s="35">
        <v>-3.6974245692262202E-2</v>
      </c>
      <c r="C97" s="19">
        <v>-2.6369595077164298E-2</v>
      </c>
      <c r="D97" s="19">
        <v>-9.7844090662813604E-2</v>
      </c>
      <c r="E97" s="13">
        <v>-3.8694151243743397E-2</v>
      </c>
    </row>
    <row r="98" spans="1:5" x14ac:dyDescent="0.2">
      <c r="A98" s="10">
        <v>40210</v>
      </c>
      <c r="B98" s="34">
        <v>2.8513689046546099E-2</v>
      </c>
      <c r="C98" s="17">
        <v>-4.2244108881419598E-3</v>
      </c>
      <c r="D98" s="17">
        <v>0.122369028832834</v>
      </c>
      <c r="E98" s="18">
        <v>1.06918289542488E-2</v>
      </c>
    </row>
    <row r="99" spans="1:5" x14ac:dyDescent="0.2">
      <c r="A99" s="11">
        <v>40238</v>
      </c>
      <c r="B99" s="35">
        <v>5.8796425545497397E-2</v>
      </c>
      <c r="C99" s="19">
        <v>4.9517161870940199E-2</v>
      </c>
      <c r="D99" s="19">
        <v>9.3134335876228394E-2</v>
      </c>
      <c r="E99" s="13">
        <v>6.6583678602610205E-2</v>
      </c>
    </row>
    <row r="100" spans="1:5" x14ac:dyDescent="0.2">
      <c r="A100" s="10">
        <v>40269</v>
      </c>
      <c r="B100" s="34">
        <v>1.4759230482013001E-2</v>
      </c>
      <c r="C100" s="17">
        <v>6.1026673767690998E-2</v>
      </c>
      <c r="D100" s="17">
        <v>5.4376308740259803E-2</v>
      </c>
      <c r="E100" s="18">
        <v>6.5344275327676699E-2</v>
      </c>
    </row>
    <row r="101" spans="1:5" x14ac:dyDescent="0.2">
      <c r="A101" s="11">
        <v>40299</v>
      </c>
      <c r="B101" s="35">
        <v>-8.1975842073190502E-2</v>
      </c>
      <c r="C101" s="19">
        <v>-0.10556010133283</v>
      </c>
      <c r="D101" s="19">
        <v>-0.107556599860731</v>
      </c>
      <c r="E101" s="13">
        <v>-1.25958126699548E-2</v>
      </c>
    </row>
    <row r="102" spans="1:5" x14ac:dyDescent="0.2">
      <c r="A102" s="10">
        <v>40330</v>
      </c>
      <c r="B102" s="34">
        <v>-5.3882442239838499E-2</v>
      </c>
      <c r="C102" s="17">
        <v>2.22818754683995E-3</v>
      </c>
      <c r="D102" s="17">
        <v>-0.121446048720877</v>
      </c>
      <c r="E102" s="18">
        <v>9.9832718231935794E-3</v>
      </c>
    </row>
    <row r="103" spans="1:5" x14ac:dyDescent="0.2">
      <c r="A103" s="11">
        <v>40360</v>
      </c>
      <c r="B103" s="35">
        <v>6.8777849574635203E-2</v>
      </c>
      <c r="C103" s="19">
        <v>8.2922033558172806E-2</v>
      </c>
      <c r="D103" s="19">
        <v>-1.7587164129693099E-2</v>
      </c>
      <c r="E103" s="13">
        <v>-3.4596331270757202E-2</v>
      </c>
    </row>
    <row r="104" spans="1:5" x14ac:dyDescent="0.2">
      <c r="A104" s="10">
        <v>40391</v>
      </c>
      <c r="B104" s="34">
        <v>-4.7449183632604801E-2</v>
      </c>
      <c r="C104" s="17">
        <v>-8.1716154946596301E-2</v>
      </c>
      <c r="D104" s="17">
        <v>-3.4371733999161401E-2</v>
      </c>
      <c r="E104" s="18">
        <v>7.6791830906056693E-2</v>
      </c>
    </row>
    <row r="105" spans="1:5" x14ac:dyDescent="0.2">
      <c r="A105" s="11">
        <v>40422</v>
      </c>
      <c r="B105" s="35">
        <v>8.7551103051135601E-2</v>
      </c>
      <c r="C105" s="19">
        <v>0.110817948766429</v>
      </c>
      <c r="D105" s="19">
        <v>0.23730061041109601</v>
      </c>
      <c r="E105" s="13">
        <v>0.12572631391431499</v>
      </c>
    </row>
    <row r="106" spans="1:5" x14ac:dyDescent="0.2">
      <c r="A106" s="10">
        <v>40452</v>
      </c>
      <c r="B106" s="34">
        <v>3.6855994035540601E-2</v>
      </c>
      <c r="C106" s="17">
        <v>-2.8716453665433701E-2</v>
      </c>
      <c r="D106" s="17">
        <v>4.2852752561702602E-2</v>
      </c>
      <c r="E106" s="18">
        <v>0.13420932341750699</v>
      </c>
    </row>
    <row r="107" spans="1:5" x14ac:dyDescent="0.2">
      <c r="A107" s="11">
        <v>40483</v>
      </c>
      <c r="B107" s="35">
        <v>-2.2902497465766601E-3</v>
      </c>
      <c r="C107" s="19">
        <v>-2.8498104500344098E-3</v>
      </c>
      <c r="D107" s="19">
        <v>6.3220425445304996E-3</v>
      </c>
      <c r="E107" s="13">
        <v>0.135291702417945</v>
      </c>
    </row>
    <row r="108" spans="1:5" x14ac:dyDescent="0.2">
      <c r="A108" s="10">
        <v>40513</v>
      </c>
      <c r="B108" s="34">
        <v>6.53000403471551E-2</v>
      </c>
      <c r="C108" s="17">
        <v>3.4070078838307302E-2</v>
      </c>
      <c r="D108" s="17">
        <v>0.18303827843458201</v>
      </c>
      <c r="E108" s="18">
        <v>9.9854217120636204E-2</v>
      </c>
    </row>
    <row r="109" spans="1:5" x14ac:dyDescent="0.2">
      <c r="A109" s="11">
        <v>40544</v>
      </c>
      <c r="B109" s="35">
        <v>2.2645574359139199E-2</v>
      </c>
      <c r="C109" s="19">
        <v>1.8771935017010799E-2</v>
      </c>
      <c r="D109" s="19">
        <v>9.6545817899349497E-3</v>
      </c>
      <c r="E109" s="13">
        <v>-9.2445357432579894E-2</v>
      </c>
    </row>
    <row r="110" spans="1:5" x14ac:dyDescent="0.2">
      <c r="A110" s="10">
        <v>40575</v>
      </c>
      <c r="B110" s="34">
        <v>3.1956563728093398E-2</v>
      </c>
      <c r="C110" s="17">
        <v>4.9021860072651698E-2</v>
      </c>
      <c r="D110" s="17">
        <v>5.9767546497049304E-3</v>
      </c>
      <c r="E110" s="18">
        <v>0.208835390586569</v>
      </c>
    </row>
    <row r="111" spans="1:5" x14ac:dyDescent="0.2">
      <c r="A111" s="11">
        <v>40603</v>
      </c>
      <c r="B111" s="35">
        <v>-1.0473129391664899E-3</v>
      </c>
      <c r="C111" s="19">
        <v>1.9867067270266499E-2</v>
      </c>
      <c r="D111" s="19">
        <v>6.4163466301989394E-2</v>
      </c>
      <c r="E111" s="13">
        <v>0.110540615522304</v>
      </c>
    </row>
    <row r="112" spans="1:5" x14ac:dyDescent="0.2">
      <c r="A112" s="10">
        <v>40634</v>
      </c>
      <c r="B112" s="34">
        <v>2.8495380666536001E-2</v>
      </c>
      <c r="C112" s="17">
        <v>3.9678983432322998E-2</v>
      </c>
      <c r="D112" s="17">
        <v>0.114560306307711</v>
      </c>
      <c r="E112" s="18">
        <v>0.27495242002959802</v>
      </c>
    </row>
    <row r="113" spans="1:5" x14ac:dyDescent="0.2">
      <c r="A113" s="11">
        <v>40664</v>
      </c>
      <c r="B113" s="35">
        <v>-1.3500952895223199E-2</v>
      </c>
      <c r="C113" s="19">
        <v>-2.91122513688995E-2</v>
      </c>
      <c r="D113" s="19">
        <v>-8.0169773265426102E-4</v>
      </c>
      <c r="E113" s="13">
        <v>-0.19795226925252399</v>
      </c>
    </row>
    <row r="114" spans="1:5" x14ac:dyDescent="0.2">
      <c r="A114" s="10">
        <v>40695</v>
      </c>
      <c r="B114" s="34">
        <v>-1.8257461652479299E-2</v>
      </c>
      <c r="C114" s="17">
        <v>1.0903478553046001E-2</v>
      </c>
      <c r="D114" s="17">
        <v>2.4864565843685502E-2</v>
      </c>
      <c r="E114" s="18">
        <v>-9.9999959418112599E-2</v>
      </c>
    </row>
    <row r="115" spans="1:5" x14ac:dyDescent="0.2">
      <c r="A115" s="11">
        <v>40725</v>
      </c>
      <c r="B115" s="35">
        <v>-2.1474425306666201E-2</v>
      </c>
      <c r="C115" s="19">
        <v>-8.1286111440748501E-2</v>
      </c>
      <c r="D115" s="19">
        <v>-0.17511246342824599</v>
      </c>
      <c r="E115" s="13">
        <v>0.148049595122418</v>
      </c>
    </row>
    <row r="116" spans="1:5" x14ac:dyDescent="0.2">
      <c r="A116" s="10">
        <v>40756</v>
      </c>
      <c r="B116" s="34">
        <v>-5.6791107952328897E-2</v>
      </c>
      <c r="C116" s="17">
        <v>-4.7739260810346303E-2</v>
      </c>
      <c r="D116" s="17">
        <v>-0.12547421411370499</v>
      </c>
      <c r="E116" s="18">
        <v>4.1184101715838098E-2</v>
      </c>
    </row>
    <row r="117" spans="1:5" x14ac:dyDescent="0.2">
      <c r="A117" s="11">
        <v>40787</v>
      </c>
      <c r="B117" s="35">
        <v>-7.1761988080896497E-2</v>
      </c>
      <c r="C117" s="19">
        <v>-0.129019219112676</v>
      </c>
      <c r="D117" s="19">
        <v>-0.15242755329955299</v>
      </c>
      <c r="E117" s="13">
        <v>-0.285290499329245</v>
      </c>
    </row>
    <row r="118" spans="1:5" x14ac:dyDescent="0.2">
      <c r="A118" s="10">
        <v>40817</v>
      </c>
      <c r="B118" s="34">
        <v>0.10772303843744099</v>
      </c>
      <c r="C118" s="17">
        <v>0.10071044635134201</v>
      </c>
      <c r="D118" s="17">
        <v>0.186239688645399</v>
      </c>
      <c r="E118" s="18">
        <v>0.15669314435165499</v>
      </c>
    </row>
    <row r="119" spans="1:5" x14ac:dyDescent="0.2">
      <c r="A119" s="11">
        <v>40848</v>
      </c>
      <c r="B119" s="35">
        <v>-5.0587151070113903E-3</v>
      </c>
      <c r="C119" s="19">
        <v>2.5563201049005699E-2</v>
      </c>
      <c r="D119" s="19">
        <v>1.15999741893551E-2</v>
      </c>
      <c r="E119" s="13">
        <v>-4.30621616580701E-2</v>
      </c>
    </row>
    <row r="120" spans="1:5" x14ac:dyDescent="0.2">
      <c r="A120" s="10">
        <v>40878</v>
      </c>
      <c r="B120" s="34">
        <v>8.5327636666361305E-3</v>
      </c>
      <c r="C120" s="17">
        <v>1.5640025925021801E-2</v>
      </c>
      <c r="D120" s="17">
        <v>-6.8533314338719301E-2</v>
      </c>
      <c r="E120" s="18">
        <v>-0.15812498331069899</v>
      </c>
    </row>
    <row r="121" spans="1:5" x14ac:dyDescent="0.2">
      <c r="A121" s="11">
        <v>40909</v>
      </c>
      <c r="B121" s="35">
        <v>4.3583062704985402E-2</v>
      </c>
      <c r="C121" s="19">
        <v>6.0932730871266202E-2</v>
      </c>
      <c r="D121" s="19">
        <v>0.215860050924255</v>
      </c>
      <c r="E121" s="13">
        <v>0.19821819374088001</v>
      </c>
    </row>
    <row r="122" spans="1:5" x14ac:dyDescent="0.2">
      <c r="A122" s="10">
        <v>40940</v>
      </c>
      <c r="B122" s="34">
        <v>4.0589463768117201E-2</v>
      </c>
      <c r="C122" s="17">
        <v>1.02637647604953E-2</v>
      </c>
      <c r="D122" s="17">
        <v>2.7078157956533799E-2</v>
      </c>
      <c r="E122" s="18">
        <v>3.9343262261156003E-2</v>
      </c>
    </row>
    <row r="123" spans="1:5" x14ac:dyDescent="0.2">
      <c r="A123" s="11">
        <v>40969</v>
      </c>
      <c r="B123" s="35">
        <v>3.1332314531441897E-2</v>
      </c>
      <c r="C123" s="19">
        <v>2.5253999194692098E-2</v>
      </c>
      <c r="D123" s="19">
        <v>2.04034466413976E-2</v>
      </c>
      <c r="E123" s="13">
        <v>-6.4679586457244503E-2</v>
      </c>
    </row>
    <row r="124" spans="1:5" x14ac:dyDescent="0.2">
      <c r="A124" s="10">
        <v>41000</v>
      </c>
      <c r="B124" s="34">
        <v>-7.4974523724959897E-3</v>
      </c>
      <c r="C124" s="17">
        <v>1.6815895412072299E-3</v>
      </c>
      <c r="D124" s="17">
        <v>-5.0211325219266599E-2</v>
      </c>
      <c r="E124" s="18">
        <v>-4.0471592873809699E-2</v>
      </c>
    </row>
    <row r="125" spans="1:5" x14ac:dyDescent="0.2">
      <c r="A125" s="11">
        <v>41030</v>
      </c>
      <c r="B125" s="35">
        <v>-6.2650725714543706E-2</v>
      </c>
      <c r="C125" s="19">
        <v>-5.53944124677542E-2</v>
      </c>
      <c r="D125" s="19">
        <v>-3.60362867517234E-2</v>
      </c>
      <c r="E125" s="13">
        <v>-0.104616455065629</v>
      </c>
    </row>
    <row r="126" spans="1:5" x14ac:dyDescent="0.2">
      <c r="A126" s="10">
        <v>41061</v>
      </c>
      <c r="B126" s="34">
        <v>3.9554982228336297E-2</v>
      </c>
      <c r="C126" s="17">
        <v>6.8837695948399405E-2</v>
      </c>
      <c r="D126" s="17">
        <v>-3.4923769730337E-2</v>
      </c>
      <c r="E126" s="18">
        <v>-1.14984969016904E-2</v>
      </c>
    </row>
    <row r="127" spans="1:5" x14ac:dyDescent="0.2">
      <c r="A127" s="11">
        <v>41091</v>
      </c>
      <c r="B127" s="35">
        <v>1.25975742047879E-2</v>
      </c>
      <c r="C127" s="19">
        <v>1.8191330123450901E-2</v>
      </c>
      <c r="D127" s="19">
        <v>-2.1616452991453001E-2</v>
      </c>
      <c r="E127" s="13">
        <v>1.76360685715105E-2</v>
      </c>
    </row>
    <row r="128" spans="1:5" x14ac:dyDescent="0.2">
      <c r="A128" s="10">
        <v>41122</v>
      </c>
      <c r="B128" s="34">
        <v>1.9763369506085701E-2</v>
      </c>
      <c r="C128" s="17">
        <v>1.5017138810262501E-2</v>
      </c>
      <c r="D128" s="17">
        <v>-2.9511093667150899E-2</v>
      </c>
      <c r="E128" s="18">
        <v>0.13532448240136899</v>
      </c>
    </row>
    <row r="129" spans="1:5" x14ac:dyDescent="0.2">
      <c r="A129" s="11">
        <v>41153</v>
      </c>
      <c r="B129" s="35">
        <v>2.42361536177753E-2</v>
      </c>
      <c r="C129" s="19">
        <v>4.4138315904911404E-3</v>
      </c>
      <c r="D129" s="19">
        <v>3.47145691693811E-2</v>
      </c>
      <c r="E129" s="13">
        <v>8.7365980731505005E-2</v>
      </c>
    </row>
    <row r="130" spans="1:5" x14ac:dyDescent="0.2">
      <c r="A130" s="10">
        <v>41183</v>
      </c>
      <c r="B130" s="34">
        <v>-1.9789409716294001E-2</v>
      </c>
      <c r="C130" s="17">
        <v>-5.2153205987360701E-2</v>
      </c>
      <c r="D130" s="17">
        <v>-6.1546726055193998E-2</v>
      </c>
      <c r="E130" s="18">
        <v>-6.6009531502073601E-2</v>
      </c>
    </row>
    <row r="131" spans="1:5" x14ac:dyDescent="0.2">
      <c r="A131" s="11">
        <v>41214</v>
      </c>
      <c r="B131" s="35">
        <v>2.8467166850427699E-3</v>
      </c>
      <c r="C131" s="19">
        <v>3.8242221806915402E-2</v>
      </c>
      <c r="D131" s="19">
        <v>6.3906685877703095E-2</v>
      </c>
      <c r="E131" s="13">
        <v>3.4857695447115603E-2</v>
      </c>
    </row>
    <row r="132" spans="1:5" x14ac:dyDescent="0.2">
      <c r="A132" s="10">
        <v>41244</v>
      </c>
      <c r="B132" s="34">
        <v>7.0682309562846201E-3</v>
      </c>
      <c r="C132" s="17">
        <v>2.7660015024161499E-2</v>
      </c>
      <c r="D132" s="17">
        <v>6.9208633753955306E-2</v>
      </c>
      <c r="E132" s="18">
        <v>-9.2398013433958398E-2</v>
      </c>
    </row>
    <row r="133" spans="1:5" x14ac:dyDescent="0.2">
      <c r="A133" s="11">
        <v>41275</v>
      </c>
      <c r="B133" s="35">
        <v>5.0428096466868903E-2</v>
      </c>
      <c r="C133" s="19">
        <v>8.2929174597597702E-2</v>
      </c>
      <c r="D133" s="19">
        <v>9.6477557345842097E-2</v>
      </c>
      <c r="E133" s="13">
        <v>3.6431721629196501E-2</v>
      </c>
    </row>
    <row r="134" spans="1:5" x14ac:dyDescent="0.2">
      <c r="A134" s="10">
        <v>41306</v>
      </c>
      <c r="B134" s="34">
        <v>1.10606487650415E-2</v>
      </c>
      <c r="C134" s="17">
        <v>3.4311147910100398E-2</v>
      </c>
      <c r="D134" s="17">
        <v>-7.3693851388113102E-2</v>
      </c>
      <c r="E134" s="18">
        <v>-9.5269368188270101E-2</v>
      </c>
    </row>
    <row r="135" spans="1:5" x14ac:dyDescent="0.2">
      <c r="A135" s="11">
        <v>41334</v>
      </c>
      <c r="B135" s="35">
        <v>3.5987723982872998E-2</v>
      </c>
      <c r="C135" s="19">
        <v>2.8524237423671599E-2</v>
      </c>
      <c r="D135" s="19">
        <v>1.18129476921489E-2</v>
      </c>
      <c r="E135" s="13">
        <v>-4.3573288033458297E-3</v>
      </c>
    </row>
    <row r="136" spans="1:5" x14ac:dyDescent="0.2">
      <c r="A136" s="10">
        <v>41365</v>
      </c>
      <c r="B136" s="34">
        <v>1.8085767779889999E-2</v>
      </c>
      <c r="C136" s="17">
        <v>-1.5050016264522801E-2</v>
      </c>
      <c r="D136" s="17">
        <v>-9.8050210747843095E-3</v>
      </c>
      <c r="E136" s="18">
        <v>-0.144420167060646</v>
      </c>
    </row>
    <row r="137" spans="1:5" x14ac:dyDescent="0.2">
      <c r="A137" s="11">
        <v>41395</v>
      </c>
      <c r="B137" s="35">
        <v>2.07628116830578E-2</v>
      </c>
      <c r="C137" s="19">
        <v>5.30984613800045E-2</v>
      </c>
      <c r="D137" s="19">
        <v>9.6766351325822994E-2</v>
      </c>
      <c r="E137" s="13">
        <v>-8.61039483906888E-2</v>
      </c>
    </row>
    <row r="138" spans="1:5" x14ac:dyDescent="0.2">
      <c r="A138" s="10">
        <v>41426</v>
      </c>
      <c r="B138" s="34">
        <v>-1.49993015955808E-2</v>
      </c>
      <c r="C138" s="17">
        <v>-2.6892378462839402E-3</v>
      </c>
      <c r="D138" s="17">
        <v>-5.9186008213926201E-2</v>
      </c>
      <c r="E138" s="18">
        <v>-0.11520527794668201</v>
      </c>
    </row>
    <row r="139" spans="1:5" x14ac:dyDescent="0.2">
      <c r="A139" s="11">
        <v>41456</v>
      </c>
      <c r="B139" s="35">
        <v>4.9462079913085398E-2</v>
      </c>
      <c r="C139" s="19">
        <v>7.3891687891621996E-2</v>
      </c>
      <c r="D139" s="19">
        <v>4.89928476117776E-2</v>
      </c>
      <c r="E139" s="13">
        <v>8.9615225328063507E-3</v>
      </c>
    </row>
    <row r="140" spans="1:5" x14ac:dyDescent="0.2">
      <c r="A140" s="10">
        <v>41487</v>
      </c>
      <c r="B140" s="34">
        <v>-3.1298019479343998E-2</v>
      </c>
      <c r="C140" s="17">
        <v>-3.2786199490392201E-2</v>
      </c>
      <c r="D140" s="17">
        <v>4.27011522460796E-2</v>
      </c>
      <c r="E140" s="18">
        <v>0.180773307322704</v>
      </c>
    </row>
    <row r="141" spans="1:5" x14ac:dyDescent="0.2">
      <c r="A141" s="11">
        <v>41518</v>
      </c>
      <c r="B141" s="35">
        <v>2.9749523259195301E-2</v>
      </c>
      <c r="C141" s="19">
        <v>5.71460679043303E-2</v>
      </c>
      <c r="D141" s="19">
        <v>9.8841774817162803E-2</v>
      </c>
      <c r="E141" s="13">
        <v>-7.5221271426761702E-2</v>
      </c>
    </row>
    <row r="142" spans="1:5" x14ac:dyDescent="0.2">
      <c r="A142" s="10">
        <v>41548</v>
      </c>
      <c r="B142" s="34">
        <v>4.4595752761944697E-2</v>
      </c>
      <c r="C142" s="17">
        <v>5.3931734497386002E-2</v>
      </c>
      <c r="D142" s="17">
        <v>-7.2737470313471997E-3</v>
      </c>
      <c r="E142" s="18">
        <v>9.5694146693729998E-3</v>
      </c>
    </row>
    <row r="143" spans="1:5" x14ac:dyDescent="0.2">
      <c r="A143" s="11">
        <v>41579</v>
      </c>
      <c r="B143" s="35">
        <v>2.8049471367328702E-2</v>
      </c>
      <c r="C143" s="19">
        <v>6.0866066188113702E-2</v>
      </c>
      <c r="D143" s="19">
        <v>5.5358544181320503E-2</v>
      </c>
      <c r="E143" s="13">
        <v>-8.8151686100680707E-2</v>
      </c>
    </row>
    <row r="144" spans="1:5" x14ac:dyDescent="0.2">
      <c r="A144" s="10">
        <v>41609</v>
      </c>
      <c r="B144" s="34">
        <v>2.3562791975446001E-2</v>
      </c>
      <c r="C144" s="17">
        <v>5.5637489890118401E-2</v>
      </c>
      <c r="D144" s="17">
        <v>6.7575029466319797E-2</v>
      </c>
      <c r="E144" s="18">
        <v>-2.7546813562914399E-2</v>
      </c>
    </row>
    <row r="145" spans="1:5" x14ac:dyDescent="0.2">
      <c r="A145" s="11">
        <v>41640</v>
      </c>
      <c r="B145" s="35">
        <v>-3.5582905955811601E-2</v>
      </c>
      <c r="C145" s="19">
        <v>-8.5989168214855999E-2</v>
      </c>
      <c r="D145" s="19">
        <v>1.9127360751852999E-2</v>
      </c>
      <c r="E145" s="13">
        <v>-1.38962231029169E-2</v>
      </c>
    </row>
    <row r="146" spans="1:5" x14ac:dyDescent="0.2">
      <c r="A146" s="10">
        <v>41671</v>
      </c>
      <c r="B146" s="34">
        <v>4.3117030178161597E-2</v>
      </c>
      <c r="C146" s="17">
        <v>5.1017807222773597E-2</v>
      </c>
      <c r="D146" s="17">
        <v>-2.09802412693352E-2</v>
      </c>
      <c r="E146" s="18">
        <v>0.102981004875989</v>
      </c>
    </row>
    <row r="147" spans="1:5" x14ac:dyDescent="0.2">
      <c r="A147" s="11">
        <v>41699</v>
      </c>
      <c r="B147" s="35">
        <v>6.9321654182270499E-3</v>
      </c>
      <c r="C147" s="19">
        <v>1.3518975661309E-2</v>
      </c>
      <c r="D147" s="19">
        <v>-1.7740926367845099E-2</v>
      </c>
      <c r="E147" s="13">
        <v>-6.4373436923138294E-2</v>
      </c>
    </row>
    <row r="148" spans="1:5" x14ac:dyDescent="0.2">
      <c r="A148" s="10">
        <v>41730</v>
      </c>
      <c r="B148" s="34">
        <v>6.2007891534141503E-3</v>
      </c>
      <c r="C148" s="17">
        <v>2.5283615335606201E-2</v>
      </c>
      <c r="D148" s="17">
        <v>-3.3619497149757899E-2</v>
      </c>
      <c r="E148" s="18">
        <v>-3.0462279578027201E-2</v>
      </c>
    </row>
    <row r="149" spans="1:5" x14ac:dyDescent="0.2">
      <c r="A149" s="11">
        <v>41760</v>
      </c>
      <c r="B149" s="35">
        <v>2.1030280073280401E-2</v>
      </c>
      <c r="C149" s="19">
        <v>2.4876140615385501E-2</v>
      </c>
      <c r="D149" s="19">
        <v>5.6214932680325402E-2</v>
      </c>
      <c r="E149" s="13">
        <v>-2.0585004312715899E-2</v>
      </c>
    </row>
    <row r="150" spans="1:5" x14ac:dyDescent="0.2">
      <c r="A150" s="10">
        <v>41791</v>
      </c>
      <c r="B150" s="34">
        <v>1.9058331749470098E-2</v>
      </c>
      <c r="C150" s="17">
        <v>1.1004563542884401E-2</v>
      </c>
      <c r="D150" s="17">
        <v>8.7807523435179408E-3</v>
      </c>
      <c r="E150" s="18">
        <v>0.120022128620072</v>
      </c>
    </row>
    <row r="151" spans="1:5" x14ac:dyDescent="0.2">
      <c r="A151" s="11">
        <v>41821</v>
      </c>
      <c r="B151" s="35">
        <v>-1.5079830845342399E-2</v>
      </c>
      <c r="C151" s="19">
        <v>-1.6406189126187701E-2</v>
      </c>
      <c r="D151" s="19">
        <v>-2.1268274861642601E-2</v>
      </c>
      <c r="E151" s="13">
        <v>-3.3086423520688697E-2</v>
      </c>
    </row>
    <row r="152" spans="1:5" x14ac:dyDescent="0.2">
      <c r="A152" s="10">
        <v>41852</v>
      </c>
      <c r="B152" s="34">
        <v>3.7655295579825297E-2</v>
      </c>
      <c r="C152" s="17">
        <v>2.2074215954441801E-2</v>
      </c>
      <c r="D152" s="17">
        <v>1.9076598877961301E-2</v>
      </c>
      <c r="E152" s="18">
        <v>-4.4433138029794497E-2</v>
      </c>
    </row>
    <row r="153" spans="1:5" x14ac:dyDescent="0.2">
      <c r="A153" s="11">
        <v>41883</v>
      </c>
      <c r="B153" s="35">
        <v>-1.5513837249454E-2</v>
      </c>
      <c r="C153" s="19">
        <v>-1.02447990003297E-2</v>
      </c>
      <c r="D153" s="19">
        <v>-3.1491935165843801E-3</v>
      </c>
      <c r="E153" s="13">
        <v>-0.12613569313113901</v>
      </c>
    </row>
    <row r="154" spans="1:5" x14ac:dyDescent="0.2">
      <c r="A154" s="10">
        <v>41913</v>
      </c>
      <c r="B154" s="34">
        <v>2.3201460667203098E-2</v>
      </c>
      <c r="C154" s="17">
        <v>8.5333154936130501E-2</v>
      </c>
      <c r="D154" s="17">
        <v>-2.75786081319579E-2</v>
      </c>
      <c r="E154" s="18">
        <v>-5.19877897026274E-2</v>
      </c>
    </row>
    <row r="155" spans="1:5" x14ac:dyDescent="0.2">
      <c r="A155" s="11">
        <v>41944</v>
      </c>
      <c r="B155" s="35">
        <v>2.4533588646314899E-2</v>
      </c>
      <c r="C155" s="19">
        <v>4.11003875293008E-2</v>
      </c>
      <c r="D155" s="19">
        <v>8.0870380692490001E-2</v>
      </c>
      <c r="E155" s="13">
        <v>-4.3225811373802901E-2</v>
      </c>
    </row>
    <row r="156" spans="1:5" x14ac:dyDescent="0.2">
      <c r="A156" s="10">
        <v>41974</v>
      </c>
      <c r="B156" s="34">
        <v>-4.1885875159970399E-3</v>
      </c>
      <c r="C156" s="17">
        <v>3.1931832803712402E-2</v>
      </c>
      <c r="D156" s="17">
        <v>-4.21152358303436E-2</v>
      </c>
      <c r="E156" s="18">
        <v>1.5509136688732101E-2</v>
      </c>
    </row>
    <row r="157" spans="1:5" x14ac:dyDescent="0.2">
      <c r="A157" s="11">
        <v>42005</v>
      </c>
      <c r="B157" s="35">
        <v>-3.1040805838410599E-2</v>
      </c>
      <c r="C157" s="19">
        <v>-1.2293117416830699E-2</v>
      </c>
      <c r="D157" s="19">
        <v>-7.7430375285932301E-2</v>
      </c>
      <c r="E157" s="13">
        <v>9.8273602567954907E-2</v>
      </c>
    </row>
    <row r="158" spans="1:5" x14ac:dyDescent="0.2">
      <c r="A158" s="10">
        <v>42036</v>
      </c>
      <c r="B158" s="34">
        <v>5.4892510890623303E-2</v>
      </c>
      <c r="C158" s="17">
        <v>3.9125254443513002E-2</v>
      </c>
      <c r="D158" s="17">
        <v>0.12029021420361501</v>
      </c>
      <c r="E158" s="18">
        <v>-4.0507919763129001E-2</v>
      </c>
    </row>
    <row r="159" spans="1:5" x14ac:dyDescent="0.2">
      <c r="A159" s="11">
        <v>42064</v>
      </c>
      <c r="B159" s="35">
        <v>-1.73961071142196E-2</v>
      </c>
      <c r="C159" s="19">
        <v>-1.58558615915976E-2</v>
      </c>
      <c r="D159" s="19">
        <v>-1.5636379040884898E-2</v>
      </c>
      <c r="E159" s="13">
        <v>3.7807448046232E-3</v>
      </c>
    </row>
    <row r="160" spans="1:5" x14ac:dyDescent="0.2">
      <c r="A160" s="10">
        <v>42095</v>
      </c>
      <c r="B160" s="34">
        <v>8.5208198225352697E-3</v>
      </c>
      <c r="C160" s="17">
        <v>-5.18941577760723E-2</v>
      </c>
      <c r="D160" s="17">
        <v>-1.8795112508349599E-3</v>
      </c>
      <c r="E160" s="18">
        <v>-3.1387318921616503E-2</v>
      </c>
    </row>
    <row r="161" spans="1:5" x14ac:dyDescent="0.2">
      <c r="A161" s="11">
        <v>42125</v>
      </c>
      <c r="B161" s="35">
        <v>1.04913823045898E-2</v>
      </c>
      <c r="C161" s="19">
        <v>1.72006685884643E-2</v>
      </c>
      <c r="D161" s="19">
        <v>-4.3507350339146997E-3</v>
      </c>
      <c r="E161" s="13">
        <v>3.6292900509829397E-2</v>
      </c>
    </row>
    <row r="162" spans="1:5" x14ac:dyDescent="0.2">
      <c r="A162" s="10">
        <v>42156</v>
      </c>
      <c r="B162" s="34">
        <v>-2.1011671979730001E-2</v>
      </c>
      <c r="C162" s="17">
        <v>-2.3914521807590801E-2</v>
      </c>
      <c r="D162" s="17">
        <v>-6.3365111718298006E-2</v>
      </c>
      <c r="E162" s="18">
        <v>-6.00375266972153E-2</v>
      </c>
    </row>
    <row r="163" spans="1:5" x14ac:dyDescent="0.2">
      <c r="A163" s="11">
        <v>42186</v>
      </c>
      <c r="B163" s="35">
        <v>1.97420294351849E-2</v>
      </c>
      <c r="C163" s="19">
        <v>-1.9183364103783102E-2</v>
      </c>
      <c r="D163" s="19">
        <v>6.4087840706919197E-2</v>
      </c>
      <c r="E163" s="13">
        <v>-6.3206907927026101E-2</v>
      </c>
    </row>
    <row r="164" spans="1:5" x14ac:dyDescent="0.2">
      <c r="A164" s="10">
        <v>42217</v>
      </c>
      <c r="B164" s="34">
        <v>-6.2580818255865603E-2</v>
      </c>
      <c r="C164" s="17">
        <v>-6.0790483182688898E-2</v>
      </c>
      <c r="D164" s="17">
        <v>-0.113308979815979</v>
      </c>
      <c r="E164" s="18">
        <v>-6.3920563263896203E-3</v>
      </c>
    </row>
    <row r="165" spans="1:5" x14ac:dyDescent="0.2">
      <c r="A165" s="11">
        <v>42248</v>
      </c>
      <c r="B165" s="35">
        <v>-2.6442831280001501E-2</v>
      </c>
      <c r="C165" s="19">
        <v>4.3381960280040001E-3</v>
      </c>
      <c r="D165" s="19">
        <v>-5.4530690532848397E-2</v>
      </c>
      <c r="E165" s="13">
        <v>-8.5775473568496796E-3</v>
      </c>
    </row>
    <row r="166" spans="1:5" x14ac:dyDescent="0.2">
      <c r="A166" s="10">
        <v>42278</v>
      </c>
      <c r="B166" s="34">
        <v>8.2983117812666499E-2</v>
      </c>
      <c r="C166" s="17">
        <v>0.10890883485981299</v>
      </c>
      <c r="D166" s="17">
        <v>0.10310580632363001</v>
      </c>
      <c r="E166" s="18">
        <v>6.70512121736975E-2</v>
      </c>
    </row>
    <row r="167" spans="1:5" x14ac:dyDescent="0.2">
      <c r="A167" s="11">
        <v>42309</v>
      </c>
      <c r="B167" s="35">
        <v>5.0486911033487103E-4</v>
      </c>
      <c r="C167" s="19">
        <v>-4.0071971470937396E-3</v>
      </c>
      <c r="D167" s="19">
        <v>0.107521174896977</v>
      </c>
      <c r="E167" s="13">
        <v>-9.1891931947605907E-2</v>
      </c>
    </row>
    <row r="168" spans="1:5" x14ac:dyDescent="0.2">
      <c r="A168" s="10">
        <v>42339</v>
      </c>
      <c r="B168" s="34">
        <v>-1.7530185032692502E-2</v>
      </c>
      <c r="C168" s="17">
        <v>-3.1614893291429899E-2</v>
      </c>
      <c r="D168" s="17">
        <v>-2.39110272456156E-4</v>
      </c>
      <c r="E168" s="18">
        <v>-1.86011910569472E-2</v>
      </c>
    </row>
    <row r="169" spans="1:5" x14ac:dyDescent="0.2">
      <c r="A169" s="11">
        <v>42370</v>
      </c>
      <c r="B169" s="35">
        <v>-5.0735322046952303E-2</v>
      </c>
      <c r="C169" s="19">
        <v>2.3896496047306499E-3</v>
      </c>
      <c r="D169" s="19">
        <v>-9.7035619235512696E-2</v>
      </c>
      <c r="E169" s="13">
        <v>3.0326048895368302E-2</v>
      </c>
    </row>
    <row r="170" spans="1:5" x14ac:dyDescent="0.2">
      <c r="A170" s="10">
        <v>42401</v>
      </c>
      <c r="B170" s="34">
        <v>-4.12836030900354E-3</v>
      </c>
      <c r="C170" s="17">
        <v>3.8874329121041801E-2</v>
      </c>
      <c r="D170" s="17">
        <v>-7.9679843453316392E-3</v>
      </c>
      <c r="E170" s="18">
        <v>4.48859197813243E-2</v>
      </c>
    </row>
    <row r="171" spans="1:5" x14ac:dyDescent="0.2">
      <c r="A171" s="11">
        <v>42430</v>
      </c>
      <c r="B171" s="35">
        <v>6.5991114440058493E-2</v>
      </c>
      <c r="C171" s="19">
        <v>6.9891731318660694E-2</v>
      </c>
      <c r="D171" s="19">
        <v>6.6934443603531499E-2</v>
      </c>
      <c r="E171" s="13">
        <v>3.3802852278734398E-2</v>
      </c>
    </row>
    <row r="172" spans="1:5" x14ac:dyDescent="0.2">
      <c r="A172" s="10">
        <v>42461</v>
      </c>
      <c r="B172" s="34">
        <v>2.6993982833325401E-3</v>
      </c>
      <c r="C172" s="17">
        <v>4.5011516561150903E-3</v>
      </c>
      <c r="D172" s="17">
        <v>2.6850582335452101E-2</v>
      </c>
      <c r="E172" s="18">
        <v>0.15667569409039001</v>
      </c>
    </row>
    <row r="173" spans="1:5" x14ac:dyDescent="0.2">
      <c r="A173" s="11">
        <v>42491</v>
      </c>
      <c r="B173" s="35">
        <v>1.5324602525288399E-2</v>
      </c>
      <c r="C173" s="19">
        <v>5.61589839160104E-3</v>
      </c>
      <c r="D173" s="19">
        <v>0.124702338207896</v>
      </c>
      <c r="E173" s="13">
        <v>-0.105418139582428</v>
      </c>
    </row>
    <row r="174" spans="1:5" x14ac:dyDescent="0.2">
      <c r="A174" s="10">
        <v>42522</v>
      </c>
      <c r="B174" s="34">
        <v>9.1092124012437403E-4</v>
      </c>
      <c r="C174" s="17">
        <v>4.73268798993811E-2</v>
      </c>
      <c r="D174" s="17">
        <v>-3.3340379835438E-2</v>
      </c>
      <c r="E174" s="18">
        <v>0.17577360788188301</v>
      </c>
    </row>
    <row r="175" spans="1:5" x14ac:dyDescent="0.2">
      <c r="A175" s="11">
        <v>42552</v>
      </c>
      <c r="B175" s="35">
        <v>3.56098007533154E-2</v>
      </c>
      <c r="C175" s="19">
        <v>1.8501241070543399E-2</v>
      </c>
      <c r="D175" s="19">
        <v>8.7392878322159098E-2</v>
      </c>
      <c r="E175" s="13">
        <v>8.3426636069349594E-2</v>
      </c>
    </row>
    <row r="176" spans="1:5" x14ac:dyDescent="0.2">
      <c r="A176" s="10">
        <v>42583</v>
      </c>
      <c r="B176" s="34">
        <v>-1.2192428990193101E-3</v>
      </c>
      <c r="C176" s="17">
        <v>4.93412146807803E-3</v>
      </c>
      <c r="D176" s="17">
        <v>-2.3487815592825399E-2</v>
      </c>
      <c r="E176" s="18">
        <v>-8.4237779637264601E-2</v>
      </c>
    </row>
    <row r="177" spans="1:5" x14ac:dyDescent="0.2">
      <c r="A177" s="11">
        <v>42614</v>
      </c>
      <c r="B177" s="35">
        <v>-1.23445113931731E-3</v>
      </c>
      <c r="C177" s="19">
        <v>-1.0666600293866501E-2</v>
      </c>
      <c r="D177" s="19">
        <v>2.3414664808858502E-3</v>
      </c>
      <c r="E177" s="13">
        <v>2.70881189720595E-2</v>
      </c>
    </row>
    <row r="178" spans="1:5" x14ac:dyDescent="0.2">
      <c r="A178" s="10">
        <v>42644</v>
      </c>
      <c r="B178" s="34">
        <v>-1.9425678909034499E-2</v>
      </c>
      <c r="C178" s="17">
        <v>-6.2021380212762003E-2</v>
      </c>
      <c r="D178" s="17">
        <v>-7.2451873413708401E-2</v>
      </c>
      <c r="E178" s="18">
        <v>-6.7582494396901699E-2</v>
      </c>
    </row>
    <row r="179" spans="1:5" x14ac:dyDescent="0.2">
      <c r="A179" s="11">
        <v>42675</v>
      </c>
      <c r="B179" s="35">
        <v>3.4174521829295E-2</v>
      </c>
      <c r="C179" s="19">
        <v>3.8959223346359803E-2</v>
      </c>
      <c r="D179" s="19">
        <v>9.4097788343265893E-3</v>
      </c>
      <c r="E179" s="13">
        <v>-7.7195021741190195E-2</v>
      </c>
    </row>
    <row r="180" spans="1:5" x14ac:dyDescent="0.2">
      <c r="A180" s="10">
        <v>42705</v>
      </c>
      <c r="B180" s="34">
        <v>1.82007624418659E-2</v>
      </c>
      <c r="C180" s="17">
        <v>4.6435956156811301E-2</v>
      </c>
      <c r="D180" s="17">
        <v>3.5925673202286103E-2</v>
      </c>
      <c r="E180" s="18">
        <v>-3.51213407467404E-2</v>
      </c>
    </row>
    <row r="181" spans="1:5" x14ac:dyDescent="0.2">
      <c r="A181" s="11">
        <v>42736</v>
      </c>
      <c r="B181" s="35">
        <v>1.7884358198382501E-2</v>
      </c>
      <c r="C181" s="19">
        <v>-2.0999810562325399E-2</v>
      </c>
      <c r="D181" s="19">
        <v>7.79584473057022E-2</v>
      </c>
      <c r="E181" s="13">
        <v>0.100595601497427</v>
      </c>
    </row>
    <row r="182" spans="1:5" x14ac:dyDescent="0.2">
      <c r="A182" s="10">
        <v>42767</v>
      </c>
      <c r="B182" s="34">
        <v>3.7198160066816303E-2</v>
      </c>
      <c r="C182" s="17">
        <v>6.5953488064342897E-2</v>
      </c>
      <c r="D182" s="17">
        <v>4.7580258525066602E-2</v>
      </c>
      <c r="E182" s="18">
        <v>4.4497998545460299E-2</v>
      </c>
    </row>
    <row r="183" spans="1:5" x14ac:dyDescent="0.2">
      <c r="A183" s="11">
        <v>42795</v>
      </c>
      <c r="B183" s="35">
        <v>-3.8919713526941501E-4</v>
      </c>
      <c r="C183" s="19">
        <v>3.3409867264146298E-2</v>
      </c>
      <c r="D183" s="19">
        <v>3.0604424075301201E-2</v>
      </c>
      <c r="E183" s="13">
        <v>-6.9085108483330996E-3</v>
      </c>
    </row>
    <row r="184" spans="1:5" x14ac:dyDescent="0.2">
      <c r="A184" s="10">
        <v>42826</v>
      </c>
      <c r="B184" s="34">
        <v>9.0912087488546102E-3</v>
      </c>
      <c r="C184" s="17">
        <v>2.3519772701538599E-2</v>
      </c>
      <c r="D184" s="17">
        <v>4.3816975534386501E-2</v>
      </c>
      <c r="E184" s="18">
        <v>-5.5072507996490001E-2</v>
      </c>
    </row>
    <row r="185" spans="1:5" x14ac:dyDescent="0.2">
      <c r="A185" s="11">
        <v>42856</v>
      </c>
      <c r="B185" s="35">
        <v>1.15762512463287E-2</v>
      </c>
      <c r="C185" s="19">
        <v>4.4119822970064802E-2</v>
      </c>
      <c r="D185" s="19">
        <v>9.6094428294484002E-2</v>
      </c>
      <c r="E185" s="13">
        <v>5.5214820122972998E-3</v>
      </c>
    </row>
    <row r="186" spans="1:5" x14ac:dyDescent="0.2">
      <c r="A186" s="10">
        <v>42887</v>
      </c>
      <c r="B186" s="34">
        <v>4.8137752078125703E-3</v>
      </c>
      <c r="C186" s="17">
        <v>2.4274881049010998E-2</v>
      </c>
      <c r="D186" s="17">
        <v>-1.7069782536210699E-2</v>
      </c>
      <c r="E186" s="18">
        <v>-4.1488674607940403E-2</v>
      </c>
    </row>
    <row r="187" spans="1:5" x14ac:dyDescent="0.2">
      <c r="A187" s="11">
        <v>42917</v>
      </c>
      <c r="B187" s="35">
        <v>1.9348826001101899E-2</v>
      </c>
      <c r="C187" s="19">
        <v>-3.3719129127056997E-2</v>
      </c>
      <c r="D187" s="19">
        <v>1.0338220182168E-2</v>
      </c>
      <c r="E187" s="13">
        <v>1.2094180771606801E-2</v>
      </c>
    </row>
    <row r="188" spans="1:5" x14ac:dyDescent="0.2">
      <c r="A188" s="10">
        <v>42948</v>
      </c>
      <c r="B188" s="34">
        <v>5.46433019853243E-4</v>
      </c>
      <c r="C188" s="17">
        <v>1.5657941215223799E-2</v>
      </c>
      <c r="D188" s="17">
        <v>8.2455260133727004E-2</v>
      </c>
      <c r="E188" s="18">
        <v>4.7169812452443803E-2</v>
      </c>
    </row>
    <row r="189" spans="1:5" x14ac:dyDescent="0.2">
      <c r="A189" s="11">
        <v>42979</v>
      </c>
      <c r="B189" s="35">
        <v>1.93029785621677E-2</v>
      </c>
      <c r="C189" s="19">
        <v>3.3219271053044098E-2</v>
      </c>
      <c r="D189" s="19">
        <v>-8.0346778270985499E-3</v>
      </c>
      <c r="E189" s="13">
        <v>-5.4654646742414603E-2</v>
      </c>
    </row>
    <row r="190" spans="1:5" x14ac:dyDescent="0.2">
      <c r="A190" s="10">
        <v>43009</v>
      </c>
      <c r="B190" s="34">
        <v>2.21881350661512E-2</v>
      </c>
      <c r="C190" s="17">
        <v>9.6665201717916399E-2</v>
      </c>
      <c r="D190" s="17">
        <v>5.9657566003739497E-2</v>
      </c>
      <c r="E190" s="18">
        <v>3.1766322402755299E-3</v>
      </c>
    </row>
    <row r="191" spans="1:5" x14ac:dyDescent="0.2">
      <c r="A191" s="11">
        <v>43040</v>
      </c>
      <c r="B191" s="35">
        <v>2.8082627806563301E-2</v>
      </c>
      <c r="C191" s="19">
        <v>5.6257570426953001E-2</v>
      </c>
      <c r="D191" s="19">
        <v>1.9882832212397599E-2</v>
      </c>
      <c r="E191" s="13">
        <v>-1.7732725373504801E-2</v>
      </c>
    </row>
    <row r="192" spans="1:5" x14ac:dyDescent="0.2">
      <c r="A192" s="10">
        <v>43070</v>
      </c>
      <c r="B192" s="34">
        <v>9.8316305942705001E-3</v>
      </c>
      <c r="C192" s="17">
        <v>-2.70733303745864E-2</v>
      </c>
      <c r="D192" s="17">
        <v>-3.2784335243046199E-2</v>
      </c>
      <c r="E192" s="18">
        <v>3.09477456578304E-2</v>
      </c>
    </row>
    <row r="193" spans="1:5" x14ac:dyDescent="0.2">
      <c r="A193" s="11">
        <v>43101</v>
      </c>
      <c r="B193" s="35">
        <v>5.6178704125528202E-2</v>
      </c>
      <c r="C193" s="19">
        <v>6.4282045141738103E-2</v>
      </c>
      <c r="D193" s="19">
        <v>9.8888738567252998E-2</v>
      </c>
      <c r="E193" s="13">
        <v>2.2514109787656899E-2</v>
      </c>
    </row>
    <row r="194" spans="1:5" x14ac:dyDescent="0.2">
      <c r="A194" s="10">
        <v>43132</v>
      </c>
      <c r="B194" s="34">
        <v>-3.8947371879367698E-2</v>
      </c>
      <c r="C194" s="17">
        <v>-5.9840572457783799E-2</v>
      </c>
      <c r="D194" s="17">
        <v>-6.5913111561504298E-2</v>
      </c>
      <c r="E194" s="18">
        <v>-5.44342704928273E-2</v>
      </c>
    </row>
    <row r="195" spans="1:5" x14ac:dyDescent="0.2">
      <c r="A195" s="11">
        <v>43160</v>
      </c>
      <c r="B195" s="35">
        <v>-2.6884498600556601E-2</v>
      </c>
      <c r="C195" s="19">
        <v>-6.2399134818471799E-2</v>
      </c>
      <c r="D195" s="19">
        <v>-2.4639191191267701E-2</v>
      </c>
      <c r="E195" s="13">
        <v>-3.2341649813382202E-3</v>
      </c>
    </row>
    <row r="196" spans="1:5" x14ac:dyDescent="0.2">
      <c r="A196" s="10">
        <v>43191</v>
      </c>
      <c r="B196" s="34">
        <v>2.7187749953683201E-3</v>
      </c>
      <c r="C196" s="17">
        <v>-0.114476880663531</v>
      </c>
      <c r="D196" s="17">
        <v>-1.7339240698036901E-2</v>
      </c>
      <c r="E196" s="18">
        <v>-1.9467704911255699E-3</v>
      </c>
    </row>
    <row r="197" spans="1:5" x14ac:dyDescent="0.2">
      <c r="A197" s="11">
        <v>43221</v>
      </c>
      <c r="B197" s="35">
        <v>2.1608341854583601E-2</v>
      </c>
      <c r="C197" s="19">
        <v>1.4609521389819E-2</v>
      </c>
      <c r="D197" s="19">
        <v>-5.6005285151305401E-2</v>
      </c>
      <c r="E197" s="13">
        <v>5.2015554688416002E-3</v>
      </c>
    </row>
    <row r="198" spans="1:5" x14ac:dyDescent="0.2">
      <c r="A198" s="10">
        <v>43252</v>
      </c>
      <c r="B198" s="34">
        <v>4.8424362676078303E-3</v>
      </c>
      <c r="C198" s="17">
        <v>4.23607274198479E-3</v>
      </c>
      <c r="D198" s="17">
        <v>-1.2917891644767001E-3</v>
      </c>
      <c r="E198" s="18">
        <v>-2.0051773535044299E-2</v>
      </c>
    </row>
    <row r="199" spans="1:5" x14ac:dyDescent="0.2">
      <c r="A199" s="11">
        <v>43282</v>
      </c>
      <c r="B199" s="35">
        <v>3.6021556172899101E-2</v>
      </c>
      <c r="C199" s="19">
        <v>7.9300475366421694E-2</v>
      </c>
      <c r="D199" s="19">
        <v>6.7916828718831396E-2</v>
      </c>
      <c r="E199" s="13">
        <v>-3.5643562735971503E-2</v>
      </c>
    </row>
    <row r="200" spans="1:5" x14ac:dyDescent="0.2">
      <c r="A200" s="10">
        <v>43313</v>
      </c>
      <c r="B200" s="34">
        <v>3.0263211276748199E-2</v>
      </c>
      <c r="C200" s="17">
        <v>-6.5937305212429003E-3</v>
      </c>
      <c r="D200" s="17">
        <v>2.5183634614153402E-2</v>
      </c>
      <c r="E200" s="18">
        <v>-6.57084230462813E-2</v>
      </c>
    </row>
    <row r="201" spans="1:5" x14ac:dyDescent="0.2">
      <c r="A201" s="11">
        <v>43344</v>
      </c>
      <c r="B201" s="35">
        <v>4.2942874264617599E-3</v>
      </c>
      <c r="C201" s="19">
        <v>5.7005877207891896E-3</v>
      </c>
      <c r="D201" s="19">
        <v>4.4418155659399897E-2</v>
      </c>
      <c r="E201" s="13">
        <v>5.8608004352946903E-3</v>
      </c>
    </row>
    <row r="202" spans="1:5" x14ac:dyDescent="0.2">
      <c r="A202" s="10">
        <v>43374</v>
      </c>
      <c r="B202" s="34">
        <v>-6.94033560936963E-2</v>
      </c>
      <c r="C202" s="17">
        <v>-9.7052745371083896E-2</v>
      </c>
      <c r="D202" s="17">
        <v>-8.1513740877315805E-2</v>
      </c>
      <c r="E202" s="18">
        <v>-2.33066063724061E-2</v>
      </c>
    </row>
    <row r="203" spans="1:5" x14ac:dyDescent="0.2">
      <c r="A203" s="11">
        <v>43405</v>
      </c>
      <c r="B203" s="35">
        <v>1.78593566547798E-2</v>
      </c>
      <c r="C203" s="19">
        <v>9.2820146594205594E-2</v>
      </c>
      <c r="D203" s="19">
        <v>0.11904825793217801</v>
      </c>
      <c r="E203" s="13">
        <v>-6.7114208510046201E-3</v>
      </c>
    </row>
    <row r="204" spans="1:5" x14ac:dyDescent="0.2">
      <c r="A204" s="10">
        <v>43435</v>
      </c>
      <c r="B204" s="34">
        <v>-9.1776894679972507E-2</v>
      </c>
      <c r="C204" s="17">
        <v>-7.7331543065677202E-2</v>
      </c>
      <c r="D204" s="17">
        <v>-6.7588086747278994E-2</v>
      </c>
      <c r="E204" s="18">
        <v>9.0090149431890906E-2</v>
      </c>
    </row>
    <row r="205" spans="1:5" x14ac:dyDescent="0.2">
      <c r="A205" s="11">
        <v>43466</v>
      </c>
      <c r="B205" s="35">
        <v>7.8684401665826104E-2</v>
      </c>
      <c r="C205" s="19">
        <v>5.1222613122441099E-2</v>
      </c>
      <c r="D205" s="19">
        <v>0.13012287457815999</v>
      </c>
      <c r="E205" s="13">
        <v>3.6501357869297202E-2</v>
      </c>
    </row>
    <row r="206" spans="1:5" x14ac:dyDescent="0.2">
      <c r="A206" s="10">
        <v>43497</v>
      </c>
      <c r="B206" s="34">
        <v>2.97288893439271E-2</v>
      </c>
      <c r="C206" s="17">
        <v>3.5397127868266501E-2</v>
      </c>
      <c r="D206" s="17">
        <v>4.4576015221006397E-2</v>
      </c>
      <c r="E206" s="18">
        <v>-2.79069814598745E-2</v>
      </c>
    </row>
    <row r="207" spans="1:5" x14ac:dyDescent="0.2">
      <c r="A207" s="11">
        <v>43525</v>
      </c>
      <c r="B207" s="35">
        <v>1.7924256249588499E-2</v>
      </c>
      <c r="C207" s="19">
        <v>8.8071319097662304E-3</v>
      </c>
      <c r="D207" s="19">
        <v>1.1832459983175401E-2</v>
      </c>
      <c r="E207" s="13">
        <v>-3.0758701691393199E-2</v>
      </c>
    </row>
    <row r="208" spans="1:5" x14ac:dyDescent="0.2">
      <c r="A208" s="10">
        <v>43556</v>
      </c>
      <c r="B208" s="34">
        <v>3.9313498313738003E-2</v>
      </c>
      <c r="C208" s="17">
        <v>-8.7929550754050401E-2</v>
      </c>
      <c r="D208" s="17">
        <v>-2.3388877985532901E-2</v>
      </c>
      <c r="E208" s="18">
        <v>-1.12834868807238E-2</v>
      </c>
    </row>
    <row r="209" spans="1:5" x14ac:dyDescent="0.2">
      <c r="A209" s="11">
        <v>43586</v>
      </c>
      <c r="B209" s="35">
        <v>-6.5777731366835401E-2</v>
      </c>
      <c r="C209" s="19">
        <v>-0.15703639868966901</v>
      </c>
      <c r="D209" s="19">
        <v>-0.14411328179459801</v>
      </c>
      <c r="E209" s="13">
        <v>-2.63909291834943E-2</v>
      </c>
    </row>
    <row r="210" spans="1:5" x14ac:dyDescent="0.2">
      <c r="A210" s="10">
        <v>43617</v>
      </c>
      <c r="B210" s="34">
        <v>6.8930163998240701E-2</v>
      </c>
      <c r="C210" s="17">
        <v>9.4354497305954702E-2</v>
      </c>
      <c r="D210" s="17">
        <v>0.113646139215412</v>
      </c>
      <c r="E210" s="18">
        <v>4.9816873566257198E-2</v>
      </c>
    </row>
    <row r="211" spans="1:5" x14ac:dyDescent="0.2">
      <c r="A211" s="11">
        <v>43647</v>
      </c>
      <c r="B211" s="35">
        <v>1.3128152166958E-2</v>
      </c>
      <c r="C211" s="19">
        <v>7.9611025046757398E-3</v>
      </c>
      <c r="D211" s="19">
        <v>-7.0443442642874401E-2</v>
      </c>
      <c r="E211" s="13">
        <v>6.1409638459602303E-2</v>
      </c>
    </row>
    <row r="212" spans="1:5" x14ac:dyDescent="0.2">
      <c r="A212" s="10">
        <v>43678</v>
      </c>
      <c r="B212" s="34">
        <v>-1.8091627240523898E-2</v>
      </c>
      <c r="C212" s="17">
        <v>-7.4405004336230707E-2</v>
      </c>
      <c r="D212" s="17">
        <v>2.6747232632787301E-2</v>
      </c>
      <c r="E212" s="18">
        <v>0.12754763810110101</v>
      </c>
    </row>
    <row r="213" spans="1:5" x14ac:dyDescent="0.2">
      <c r="A213" s="11">
        <v>43709</v>
      </c>
      <c r="B213" s="35">
        <v>1.71811779310207E-2</v>
      </c>
      <c r="C213" s="19">
        <v>2.5874036054800702E-2</v>
      </c>
      <c r="D213" s="19">
        <v>7.76263059165649E-2</v>
      </c>
      <c r="E213" s="13">
        <v>-7.1720091521596002E-2</v>
      </c>
    </row>
    <row r="214" spans="1:5" x14ac:dyDescent="0.2">
      <c r="A214" s="10">
        <v>43739</v>
      </c>
      <c r="B214" s="34">
        <v>2.0431770513684101E-2</v>
      </c>
      <c r="C214" s="17">
        <v>3.5888734010223202E-3</v>
      </c>
      <c r="D214" s="17">
        <v>-9.3570295626789202E-3</v>
      </c>
      <c r="E214" s="18">
        <v>6.2814070050732904E-2</v>
      </c>
    </row>
    <row r="215" spans="1:5" x14ac:dyDescent="0.2">
      <c r="A215" s="11">
        <v>43770</v>
      </c>
      <c r="B215" s="35">
        <v>3.4047037714499899E-2</v>
      </c>
      <c r="C215" s="19">
        <v>2.8971495727247599E-2</v>
      </c>
      <c r="D215" s="19">
        <v>6.6270575133188001E-2</v>
      </c>
      <c r="E215" s="13">
        <v>-5.9101654579840499E-2</v>
      </c>
    </row>
    <row r="216" spans="1:5" x14ac:dyDescent="0.2">
      <c r="A216" s="10">
        <v>43800</v>
      </c>
      <c r="B216" s="34">
        <v>2.8589818905730102E-2</v>
      </c>
      <c r="C216" s="17">
        <v>4.8167150859952199E-2</v>
      </c>
      <c r="D216" s="17">
        <v>5.6209043776723797E-2</v>
      </c>
      <c r="E216" s="18">
        <v>4.7738707615556701E-2</v>
      </c>
    </row>
    <row r="217" spans="1:5" x14ac:dyDescent="0.2">
      <c r="A217" s="11">
        <v>43831</v>
      </c>
      <c r="B217" s="35">
        <v>-1.62809281904897E-3</v>
      </c>
      <c r="C217" s="19">
        <v>-0.10066891631908299</v>
      </c>
      <c r="D217" s="19">
        <v>-3.01915280484613E-2</v>
      </c>
      <c r="E217" s="13">
        <v>8.3932486263202898E-3</v>
      </c>
    </row>
    <row r="218" spans="1:5" x14ac:dyDescent="0.2">
      <c r="A218" s="10">
        <v>43862</v>
      </c>
      <c r="B218" s="34">
        <v>-8.4110483638403094E-2</v>
      </c>
      <c r="C218" s="17">
        <v>-5.9371978927181303E-2</v>
      </c>
      <c r="D218" s="17">
        <v>-6.6497110890036001E-2</v>
      </c>
      <c r="E218" s="18">
        <v>-7.6694410538543603E-2</v>
      </c>
    </row>
    <row r="219" spans="1:5" x14ac:dyDescent="0.2">
      <c r="A219" s="11">
        <v>43891</v>
      </c>
      <c r="B219" s="35">
        <v>-0.125119282408928</v>
      </c>
      <c r="C219" s="19">
        <v>-7.7015842608286103E-2</v>
      </c>
      <c r="D219" s="19">
        <v>-7.0714872217536806E-2</v>
      </c>
      <c r="E219" s="13">
        <v>-0.15969089406815201</v>
      </c>
    </row>
    <row r="220" spans="1:5" x14ac:dyDescent="0.2">
      <c r="A220" s="10">
        <v>43922</v>
      </c>
      <c r="B220" s="34">
        <v>0.126844038165279</v>
      </c>
      <c r="C220" s="17">
        <v>0.11288553774658</v>
      </c>
      <c r="D220" s="17">
        <v>7.3094943708744003E-2</v>
      </c>
      <c r="E220" s="18">
        <v>7.1264317081139797E-2</v>
      </c>
    </row>
    <row r="221" spans="1:5" x14ac:dyDescent="0.2">
      <c r="A221" s="11">
        <v>43952</v>
      </c>
      <c r="B221" s="35">
        <v>4.52818196655582E-2</v>
      </c>
      <c r="C221" s="19">
        <v>2.9752559933820401E-2</v>
      </c>
      <c r="D221" s="19">
        <v>0.149752390560349</v>
      </c>
      <c r="E221" s="13">
        <v>0.19170246015237499</v>
      </c>
    </row>
    <row r="222" spans="1:5" x14ac:dyDescent="0.2">
      <c r="A222" s="10">
        <v>43983</v>
      </c>
      <c r="B222" s="34">
        <v>1.83883965139242E-2</v>
      </c>
      <c r="C222" s="17">
        <v>7.0133865105306298E-3</v>
      </c>
      <c r="D222" s="17">
        <v>2.60947951465074E-3</v>
      </c>
      <c r="E222" s="18">
        <v>2.1008426451101899E-2</v>
      </c>
    </row>
    <row r="223" spans="1:5" x14ac:dyDescent="0.2">
      <c r="A223" s="11">
        <v>44013</v>
      </c>
      <c r="B223" s="35">
        <v>5.51013214804437E-2</v>
      </c>
      <c r="C223" s="19">
        <v>-3.5387089841794103E-2</v>
      </c>
      <c r="D223" s="19">
        <v>9.23649318791782E-2</v>
      </c>
      <c r="E223" s="13">
        <v>0.33156962455956301</v>
      </c>
    </row>
    <row r="224" spans="1:5" x14ac:dyDescent="0.2">
      <c r="A224" s="10">
        <v>44044</v>
      </c>
      <c r="B224" s="34">
        <v>7.0064666901717795E-2</v>
      </c>
      <c r="C224" s="17">
        <v>8.3405625583387294E-2</v>
      </c>
      <c r="D224" s="17">
        <v>4.2458300499080601E-2</v>
      </c>
      <c r="E224" s="18">
        <v>0.15805739443709299</v>
      </c>
    </row>
    <row r="225" spans="1:5" x14ac:dyDescent="0.2">
      <c r="A225" s="11">
        <v>44075</v>
      </c>
      <c r="B225" s="35">
        <v>-3.9227970178423097E-2</v>
      </c>
      <c r="C225" s="19">
        <v>-8.4778344868894403E-3</v>
      </c>
      <c r="D225" s="19">
        <v>5.1781766481013803E-3</v>
      </c>
      <c r="E225" s="13">
        <v>-0.17499047779992999</v>
      </c>
    </row>
    <row r="226" spans="1:5" x14ac:dyDescent="0.2">
      <c r="A226" s="10">
        <v>44105</v>
      </c>
      <c r="B226" s="34">
        <v>-2.7665786221379701E-2</v>
      </c>
      <c r="C226" s="17">
        <v>-1.37321071771601E-3</v>
      </c>
      <c r="D226" s="17">
        <v>1.1392901361139801E-2</v>
      </c>
      <c r="E226" s="18">
        <v>1.6173770394704901E-2</v>
      </c>
    </row>
    <row r="227" spans="1:5" x14ac:dyDescent="0.2">
      <c r="A227" s="11">
        <v>44136</v>
      </c>
      <c r="B227" s="35">
        <v>0.10754563544385901</v>
      </c>
      <c r="C227" s="19">
        <v>7.9832478043740301E-2</v>
      </c>
      <c r="D227" s="19">
        <v>0.14713287439082201</v>
      </c>
      <c r="E227" s="13">
        <v>-4.2746727778152097E-2</v>
      </c>
    </row>
    <row r="228" spans="1:5" x14ac:dyDescent="0.2">
      <c r="A228" s="10">
        <v>44166</v>
      </c>
      <c r="B228" s="34">
        <v>3.7121459093570001E-2</v>
      </c>
      <c r="C228" s="17">
        <v>2.0680168517551299E-2</v>
      </c>
      <c r="D228" s="17">
        <v>1.36012756939374E-2</v>
      </c>
      <c r="E228" s="18">
        <v>0.167220930420101</v>
      </c>
    </row>
    <row r="229" spans="1:5" x14ac:dyDescent="0.2">
      <c r="A229" s="11">
        <v>44197</v>
      </c>
      <c r="B229" s="35">
        <v>-1.1136660755445201E-2</v>
      </c>
      <c r="C229" s="19">
        <v>4.9771071943283101E-3</v>
      </c>
      <c r="D229" s="19">
        <v>1.41782946717568E-2</v>
      </c>
      <c r="E229" s="13">
        <v>1.7094020411502899E-2</v>
      </c>
    </row>
    <row r="230" spans="1:5" x14ac:dyDescent="0.2">
      <c r="A230" s="10">
        <v>44228</v>
      </c>
      <c r="B230" s="34">
        <v>2.6091451377448401E-2</v>
      </c>
      <c r="C230" s="17">
        <v>-3.41585730661564E-3</v>
      </c>
      <c r="D230" s="17">
        <v>1.74768253735549E-2</v>
      </c>
      <c r="E230" s="18">
        <v>-1.3205279180812501E-2</v>
      </c>
    </row>
    <row r="231" spans="1:5" x14ac:dyDescent="0.2">
      <c r="A231" s="11">
        <v>44256</v>
      </c>
      <c r="B231" s="35">
        <v>4.2438632533165203E-2</v>
      </c>
      <c r="C231" s="19">
        <v>0.109721467256074</v>
      </c>
      <c r="D231" s="19">
        <v>4.15335205453711E-2</v>
      </c>
      <c r="E231" s="13">
        <v>-7.9480904160603397E-2</v>
      </c>
    </row>
    <row r="232" spans="1:5" x14ac:dyDescent="0.2">
      <c r="A232" s="10">
        <v>44287</v>
      </c>
      <c r="B232" s="34">
        <v>5.24253213475585E-2</v>
      </c>
      <c r="C232" s="17">
        <v>2.3147044348936299E-2</v>
      </c>
      <c r="D232" s="17">
        <v>5.11249983807689E-2</v>
      </c>
      <c r="E232" s="18">
        <v>5.7709225634966499E-2</v>
      </c>
    </row>
    <row r="233" spans="1:5" x14ac:dyDescent="0.2">
      <c r="A233" s="11">
        <v>44317</v>
      </c>
      <c r="B233" s="35">
        <v>5.4864886706069704E-3</v>
      </c>
      <c r="C233" s="19">
        <v>2.99281090494838E-2</v>
      </c>
      <c r="D233" s="19">
        <v>3.5170341378550199E-2</v>
      </c>
      <c r="E233" s="13">
        <v>7.8717174995064795E-2</v>
      </c>
    </row>
    <row r="234" spans="1:5" x14ac:dyDescent="0.2">
      <c r="A234" s="10">
        <v>44348</v>
      </c>
      <c r="B234" s="34">
        <v>2.2214009565834698E-2</v>
      </c>
      <c r="C234" s="17">
        <v>-1.45208978837014E-2</v>
      </c>
      <c r="D234" s="17">
        <v>7.00788208015279E-2</v>
      </c>
      <c r="E234" s="18">
        <v>-6.4864877603079907E-2</v>
      </c>
    </row>
    <row r="235" spans="1:5" x14ac:dyDescent="0.2">
      <c r="A235" s="11">
        <v>44378</v>
      </c>
      <c r="B235" s="35">
        <v>2.2748054828388702E-2</v>
      </c>
      <c r="C235" s="19">
        <v>-3.4739444420137698E-3</v>
      </c>
      <c r="D235" s="19">
        <v>3.6668570943098097E-2</v>
      </c>
      <c r="E235" s="13">
        <v>-2.4360040021247E-2</v>
      </c>
    </row>
    <row r="236" spans="1:5" x14ac:dyDescent="0.2">
      <c r="A236" s="10">
        <v>44409</v>
      </c>
      <c r="B236" s="34">
        <v>2.8990416255438599E-2</v>
      </c>
      <c r="C236" s="17">
        <v>-1.6166609033052899E-2</v>
      </c>
      <c r="D236" s="17">
        <v>0.14664664335703101</v>
      </c>
      <c r="E236" s="18">
        <v>-6.3055430555919903E-2</v>
      </c>
    </row>
    <row r="237" spans="1:5" x14ac:dyDescent="0.2">
      <c r="A237" s="11">
        <v>44440</v>
      </c>
      <c r="B237" s="35">
        <v>-4.7569168801901103E-2</v>
      </c>
      <c r="C237" s="19">
        <v>-9.2332755700734501E-2</v>
      </c>
      <c r="D237" s="19">
        <v>-0.102239687502211</v>
      </c>
      <c r="E237" s="13">
        <v>-7.3170685480786299E-2</v>
      </c>
    </row>
    <row r="238" spans="1:5" x14ac:dyDescent="0.2">
      <c r="A238" s="10">
        <v>44470</v>
      </c>
      <c r="B238" s="34">
        <v>6.9143836400606506E-2</v>
      </c>
      <c r="C238" s="17">
        <v>1.8584116405788501E-2</v>
      </c>
      <c r="D238" s="17">
        <v>-2.5379773796785398E-4</v>
      </c>
      <c r="E238" s="18">
        <v>7.6510704668635299E-2</v>
      </c>
    </row>
    <row r="239" spans="1:5" x14ac:dyDescent="0.2">
      <c r="A239" s="11">
        <v>44501</v>
      </c>
      <c r="B239" s="35">
        <v>-8.3337061847461608E-3</v>
      </c>
      <c r="C239" s="19">
        <v>-4.8354990406052199E-2</v>
      </c>
      <c r="D239" s="19">
        <v>-4.065077726329E-2</v>
      </c>
      <c r="E239" s="13">
        <v>-4.6627463989620699E-2</v>
      </c>
    </row>
    <row r="240" spans="1:5" x14ac:dyDescent="0.2">
      <c r="A240" s="10">
        <v>44531</v>
      </c>
      <c r="B240" s="34">
        <v>4.3612913462064903E-2</v>
      </c>
      <c r="C240" s="17">
        <v>5.31380790697158E-2</v>
      </c>
      <c r="D240" s="17">
        <v>5.7985293458363098E-2</v>
      </c>
      <c r="E240" s="18">
        <v>2.1367558136322899E-2</v>
      </c>
    </row>
    <row r="241" spans="1:5" x14ac:dyDescent="0.2">
      <c r="A241" s="11">
        <v>44562</v>
      </c>
      <c r="B241" s="35">
        <v>-5.2585165027393903E-2</v>
      </c>
      <c r="C241" s="19">
        <v>-6.5360535621417096E-2</v>
      </c>
      <c r="D241" s="19">
        <v>-0.12734094253848399</v>
      </c>
      <c r="E241" s="13">
        <v>-3.3007949059338501E-2</v>
      </c>
    </row>
    <row r="242" spans="1:5" x14ac:dyDescent="0.2">
      <c r="A242" s="10">
        <v>44593</v>
      </c>
      <c r="B242" s="34">
        <v>-3.13604919459083E-2</v>
      </c>
      <c r="C242" s="17">
        <v>-0.10462584874360301</v>
      </c>
      <c r="D242" s="17">
        <v>-6.3080318208862299E-2</v>
      </c>
      <c r="E242" s="18">
        <v>8.7500080237024699E-2</v>
      </c>
    </row>
    <row r="243" spans="1:5" x14ac:dyDescent="0.2">
      <c r="A243" s="11">
        <v>44621</v>
      </c>
      <c r="B243" s="35">
        <v>3.5773288371546301E-2</v>
      </c>
      <c r="C243" s="19">
        <v>1.1228676327192001E-2</v>
      </c>
      <c r="D243" s="19">
        <v>1.51123371054103E-2</v>
      </c>
      <c r="E243" s="13">
        <v>1.1494178244337201E-2</v>
      </c>
    </row>
    <row r="244" spans="1:5" x14ac:dyDescent="0.2">
      <c r="A244" s="10">
        <v>44652</v>
      </c>
      <c r="B244" s="34">
        <v>-8.7956711804343099E-2</v>
      </c>
      <c r="C244" s="17">
        <v>-3.1300544292674801E-2</v>
      </c>
      <c r="D244" s="17">
        <v>-9.8692830665013401E-2</v>
      </c>
      <c r="E244" s="18">
        <v>-8.0419506675262001E-2</v>
      </c>
    </row>
    <row r="245" spans="1:5" x14ac:dyDescent="0.2">
      <c r="A245" s="11">
        <v>44682</v>
      </c>
      <c r="B245" s="35">
        <v>5.3177704644635802E-5</v>
      </c>
      <c r="C245" s="19">
        <v>3.5154735267169501E-2</v>
      </c>
      <c r="D245" s="19">
        <v>7.1185334225472199E-2</v>
      </c>
      <c r="E245" s="13">
        <v>-5.7034254311931203E-2</v>
      </c>
    </row>
    <row r="246" spans="1:5" x14ac:dyDescent="0.2">
      <c r="A246" s="10">
        <v>44713</v>
      </c>
      <c r="B246" s="34">
        <v>-8.3919999933826803E-2</v>
      </c>
      <c r="C246" s="17">
        <v>-0.124403659852173</v>
      </c>
      <c r="D246" s="17">
        <v>-6.8908688414516903E-2</v>
      </c>
      <c r="E246" s="18">
        <v>-6.0483908957174502E-2</v>
      </c>
    </row>
    <row r="247" spans="1:5" x14ac:dyDescent="0.2">
      <c r="A247" s="11">
        <v>44743</v>
      </c>
      <c r="B247" s="35">
        <v>9.1116391730209995E-2</v>
      </c>
      <c r="C247" s="19">
        <v>0.106869685822927</v>
      </c>
      <c r="D247" s="19">
        <v>0.12907296597873599</v>
      </c>
      <c r="E247" s="13">
        <v>3.21895789998461E-3</v>
      </c>
    </row>
    <row r="248" spans="1:5" x14ac:dyDescent="0.2">
      <c r="A248" s="10">
        <v>44774</v>
      </c>
      <c r="B248" s="34">
        <v>-4.2440128272998402E-2</v>
      </c>
      <c r="C248" s="17">
        <v>-0.131876449172634</v>
      </c>
      <c r="D248" s="17">
        <v>-4.1930229241376203E-2</v>
      </c>
      <c r="E248" s="18">
        <v>-0.113369024210679</v>
      </c>
    </row>
    <row r="249" spans="1:5" x14ac:dyDescent="0.2">
      <c r="A249" s="11">
        <v>44805</v>
      </c>
      <c r="B249" s="35">
        <v>-9.3395672013274394E-2</v>
      </c>
      <c r="C249" s="19">
        <v>-0.102259909221596</v>
      </c>
      <c r="D249" s="19">
        <v>-5.2241659168207298E-2</v>
      </c>
      <c r="E249" s="13">
        <v>5.5488545267031703E-2</v>
      </c>
    </row>
    <row r="250" spans="1:5" x14ac:dyDescent="0.2">
      <c r="A250" s="10">
        <v>44835</v>
      </c>
      <c r="B250" s="34">
        <v>7.9863413837008901E-2</v>
      </c>
      <c r="C250" s="17">
        <v>0.13837105859950599</v>
      </c>
      <c r="D250" s="17">
        <v>0.13821490999781899</v>
      </c>
      <c r="E250" s="18">
        <v>6.8571908133370201E-3</v>
      </c>
    </row>
    <row r="251" spans="1:5" x14ac:dyDescent="0.2">
      <c r="A251" s="11">
        <v>44866</v>
      </c>
      <c r="B251" s="35">
        <v>5.37528933524931E-2</v>
      </c>
      <c r="C251" s="19">
        <v>1.43109094502081E-3</v>
      </c>
      <c r="D251" s="19">
        <v>0.122140750111063</v>
      </c>
      <c r="E251" s="13">
        <v>0.15947782815569</v>
      </c>
    </row>
    <row r="252" spans="1:5" x14ac:dyDescent="0.2">
      <c r="A252" s="10">
        <v>44896</v>
      </c>
      <c r="B252" s="34">
        <v>-5.8971474074730502E-2</v>
      </c>
      <c r="C252" s="17">
        <v>-3.68804446275732E-2</v>
      </c>
      <c r="D252" s="17">
        <v>-3.4391518151632501E-2</v>
      </c>
      <c r="E252" s="18">
        <v>7.7826731710086E-2</v>
      </c>
    </row>
    <row r="253" spans="1:5" x14ac:dyDescent="0.2">
      <c r="A253" s="11">
        <v>44927</v>
      </c>
      <c r="B253" s="35">
        <v>6.1752857834679098E-2</v>
      </c>
      <c r="C253" s="19">
        <v>-4.0360383313193103E-2</v>
      </c>
      <c r="D253" s="19">
        <v>1.7753495822979699E-2</v>
      </c>
      <c r="E253" s="13">
        <v>-8.6285436016250196E-3</v>
      </c>
    </row>
    <row r="254" spans="1:5" x14ac:dyDescent="0.2">
      <c r="A254" s="10">
        <v>44958</v>
      </c>
      <c r="B254" s="34">
        <v>-2.6112493931818598E-2</v>
      </c>
      <c r="C254" s="17">
        <v>-6.37814910735887E-2</v>
      </c>
      <c r="D254" s="17">
        <v>-6.6478140687102699E-2</v>
      </c>
      <c r="E254" s="18">
        <v>-0.119560266581461</v>
      </c>
    </row>
    <row r="255" spans="1:5" x14ac:dyDescent="0.2">
      <c r="A255" s="11">
        <v>44986</v>
      </c>
      <c r="B255" s="35">
        <v>3.5051612577109002E-2</v>
      </c>
      <c r="C255" s="19">
        <v>-1.14936178725589E-2</v>
      </c>
      <c r="D255" s="19">
        <v>-2.5568679174251902E-2</v>
      </c>
      <c r="E255" s="13">
        <v>0.15088458009797701</v>
      </c>
    </row>
    <row r="256" spans="1:5" x14ac:dyDescent="0.2">
      <c r="A256" s="10">
        <v>45017</v>
      </c>
      <c r="B256" s="34">
        <v>1.4642341662481E-2</v>
      </c>
      <c r="C256" s="17">
        <v>1.05604365400069E-2</v>
      </c>
      <c r="D256" s="17">
        <v>-2.1035327661113001E-2</v>
      </c>
      <c r="E256" s="18">
        <v>3.9782962358924499E-2</v>
      </c>
    </row>
    <row r="257" spans="1:5" x14ac:dyDescent="0.2">
      <c r="A257" s="11">
        <v>45047</v>
      </c>
      <c r="B257" s="35">
        <v>2.4823473681929698E-3</v>
      </c>
      <c r="C257" s="19">
        <v>-0.121540281077212</v>
      </c>
      <c r="D257" s="19">
        <v>-0.14451411159359501</v>
      </c>
      <c r="E257" s="13">
        <v>-6.0434756071671099E-2</v>
      </c>
    </row>
    <row r="258" spans="1:5" x14ac:dyDescent="0.2">
      <c r="A258" s="10">
        <v>45078</v>
      </c>
      <c r="B258" s="34">
        <v>6.4727464904234602E-2</v>
      </c>
      <c r="C258" s="17">
        <v>8.8966442635772094E-2</v>
      </c>
      <c r="D258" s="17">
        <v>3.9595350548962099E-2</v>
      </c>
      <c r="E258" s="18">
        <v>-3.3317963922603097E-2</v>
      </c>
    </row>
    <row r="259" spans="1:5" x14ac:dyDescent="0.2">
      <c r="A259" s="11">
        <v>45108</v>
      </c>
      <c r="B259" s="35">
        <v>3.11389323550109E-2</v>
      </c>
      <c r="C259" s="19">
        <v>0.11399712381988</v>
      </c>
      <c r="D259" s="19">
        <v>1.4574068941780399E-2</v>
      </c>
      <c r="E259" s="13">
        <v>8.6165686787962797E-2</v>
      </c>
    </row>
    <row r="260" spans="1:5" x14ac:dyDescent="0.2">
      <c r="A260" s="10">
        <v>45139</v>
      </c>
      <c r="B260" s="34">
        <v>-1.7716390070853998E-2</v>
      </c>
      <c r="C260" s="17">
        <v>-4.3318307487763101E-2</v>
      </c>
      <c r="D260" s="17">
        <v>-5.7483971520216901E-3</v>
      </c>
      <c r="E260" s="18">
        <v>-1.32217336865584E-2</v>
      </c>
    </row>
    <row r="261" spans="1:5" x14ac:dyDescent="0.2">
      <c r="A261" s="11">
        <v>45170</v>
      </c>
      <c r="B261" s="35">
        <v>-4.8719367465624899E-2</v>
      </c>
      <c r="C261" s="19">
        <v>-0.109214317267151</v>
      </c>
      <c r="D261" s="19">
        <v>-7.6402205242658394E-2</v>
      </c>
      <c r="E261" s="13">
        <v>-9.1558699997478496E-2</v>
      </c>
    </row>
    <row r="262" spans="1:5" x14ac:dyDescent="0.2">
      <c r="A262" s="10">
        <v>45200</v>
      </c>
      <c r="B262" s="34">
        <v>-2.1979688737982998E-2</v>
      </c>
      <c r="C262" s="17">
        <v>-2.8519620709682801E-2</v>
      </c>
      <c r="D262" s="17">
        <v>-7.5567845992586799E-2</v>
      </c>
      <c r="E262" s="18">
        <v>3.1465063168498099E-2</v>
      </c>
    </row>
    <row r="263" spans="1:5" x14ac:dyDescent="0.2">
      <c r="A263" s="11">
        <v>45231</v>
      </c>
      <c r="B263" s="35">
        <v>8.9179268781970106E-2</v>
      </c>
      <c r="C263" s="19">
        <v>8.9279997158895605E-2</v>
      </c>
      <c r="D263" s="19">
        <v>0.238828254274812</v>
      </c>
      <c r="E263" s="13">
        <v>0.102478535054396</v>
      </c>
    </row>
    <row r="264" spans="1:5" x14ac:dyDescent="0.2">
      <c r="A264" s="10">
        <v>45261</v>
      </c>
      <c r="B264" s="34">
        <v>4.4229231156360099E-2</v>
      </c>
      <c r="C264" s="17">
        <v>0.120826655199311</v>
      </c>
      <c r="D264" s="17">
        <v>8.7871602977840801E-2</v>
      </c>
      <c r="E264" s="18">
        <v>-5.8365694902876603E-2</v>
      </c>
    </row>
    <row r="265" spans="1:5" x14ac:dyDescent="0.2">
      <c r="A265" s="11">
        <v>45292</v>
      </c>
      <c r="B265" s="35">
        <v>1.5895707598991601E-2</v>
      </c>
      <c r="C265" s="19">
        <v>-0.13693739869452801</v>
      </c>
      <c r="D265" s="19">
        <v>-6.2647901080103999E-2</v>
      </c>
      <c r="E265" s="13">
        <v>-3.9944940854241703E-2</v>
      </c>
    </row>
    <row r="266" spans="1:5" x14ac:dyDescent="0.2">
      <c r="A266" s="10">
        <v>45323</v>
      </c>
      <c r="B266" s="34">
        <v>5.1720640623723203E-2</v>
      </c>
      <c r="C266" s="17">
        <v>-2.3635395533149601E-2</v>
      </c>
      <c r="D266" s="17">
        <v>5.5803080164223501E-2</v>
      </c>
      <c r="E266" s="18">
        <v>-8.6083360348785404E-3</v>
      </c>
    </row>
    <row r="267" spans="1:5" x14ac:dyDescent="0.2">
      <c r="A267" s="11">
        <v>45352</v>
      </c>
      <c r="B267" s="35">
        <v>3.1018779915342999E-2</v>
      </c>
      <c r="C267" s="19">
        <v>0.170558102872992</v>
      </c>
      <c r="D267" s="19">
        <v>5.93330911124288E-2</v>
      </c>
      <c r="E267" s="13">
        <v>9.7443343095499096E-2</v>
      </c>
    </row>
    <row r="268" spans="1:5" x14ac:dyDescent="0.2">
      <c r="A268" s="10">
        <v>45383</v>
      </c>
      <c r="B268" s="34">
        <v>-4.1615071737898697E-2</v>
      </c>
      <c r="C268" s="17">
        <v>8.8205435948626204E-2</v>
      </c>
      <c r="D268" s="17">
        <v>-5.8209162018676097E-2</v>
      </c>
      <c r="E268" s="18">
        <v>5.7142823607056997E-2</v>
      </c>
    </row>
    <row r="269" spans="1:5" x14ac:dyDescent="0.2">
      <c r="A269" s="11">
        <v>45413</v>
      </c>
      <c r="B269" s="35">
        <v>4.80211901511991E-2</v>
      </c>
      <c r="C269" s="19">
        <v>3.7612616932852602E-2</v>
      </c>
      <c r="D269" s="19">
        <v>-4.6833999097222197E-2</v>
      </c>
      <c r="E269" s="13">
        <v>0.15426200039558699</v>
      </c>
    </row>
    <row r="270" spans="1:5" x14ac:dyDescent="0.2">
      <c r="A270" s="10">
        <v>45444</v>
      </c>
      <c r="B270" s="34">
        <v>3.46698012830833E-2</v>
      </c>
      <c r="C270" s="17">
        <v>2.7558629268059898E-2</v>
      </c>
      <c r="D270" s="17">
        <v>-5.9809711115225202E-3</v>
      </c>
      <c r="E270" s="18">
        <v>-4.2867454043444997E-2</v>
      </c>
    </row>
    <row r="271" spans="1:5" x14ac:dyDescent="0.2">
      <c r="A271" s="11">
        <v>45474</v>
      </c>
      <c r="B271" s="35">
        <v>1.13213168878687E-2</v>
      </c>
      <c r="C271" s="19">
        <v>0.24816523183515399</v>
      </c>
      <c r="D271" s="19">
        <v>9.0796641191450894E-2</v>
      </c>
      <c r="E271" s="13">
        <v>-6.7745693354616101E-3</v>
      </c>
    </row>
    <row r="272" spans="1:5" x14ac:dyDescent="0.2">
      <c r="A272" s="10">
        <v>45505</v>
      </c>
      <c r="B272" s="34">
        <v>2.2834706936630401E-2</v>
      </c>
      <c r="C272" s="17">
        <v>5.5978086197886703E-2</v>
      </c>
      <c r="D272" s="17">
        <v>1.2625570158164101E-2</v>
      </c>
      <c r="E272" s="18">
        <v>-1.5156881054874101E-3</v>
      </c>
    </row>
    <row r="273" spans="1:5" x14ac:dyDescent="0.2">
      <c r="A273" s="11">
        <v>45536</v>
      </c>
      <c r="B273" s="35">
        <v>2.0196884090601299E-2</v>
      </c>
      <c r="C273" s="19">
        <v>2.0394457887589399E-2</v>
      </c>
      <c r="D273" s="19">
        <v>3.8902688730410501E-2</v>
      </c>
      <c r="E273" s="13">
        <v>7.8178346721810704E-2</v>
      </c>
    </row>
    <row r="274" spans="1:5" x14ac:dyDescent="0.2">
      <c r="A274" s="10">
        <v>45566</v>
      </c>
      <c r="B274" s="34">
        <v>-9.8967433031517098E-3</v>
      </c>
      <c r="C274" s="17">
        <v>-6.0204937913764502E-2</v>
      </c>
      <c r="D274" s="17">
        <v>-0.122373262789627</v>
      </c>
      <c r="E274" s="18">
        <v>4.9278409927826998E-2</v>
      </c>
    </row>
    <row r="275" spans="1:5" x14ac:dyDescent="0.2">
      <c r="A275" s="11">
        <v>45597</v>
      </c>
      <c r="B275" s="35">
        <v>5.73012954820988E-2</v>
      </c>
      <c r="C275" s="19">
        <v>3.9386548832640998E-2</v>
      </c>
      <c r="D275" s="19">
        <v>6.0468440024181301E-2</v>
      </c>
      <c r="E275" s="13">
        <v>-6.34015237674775E-2</v>
      </c>
    </row>
    <row r="276" spans="1:5" x14ac:dyDescent="0.2">
      <c r="A276" s="10">
        <v>45627</v>
      </c>
      <c r="B276" s="34">
        <v>-2.4990137048483602E-2</v>
      </c>
      <c r="C276" s="17">
        <v>-2.8109399651777198E-2</v>
      </c>
      <c r="D276" s="17">
        <v>-2.6310009490204799E-2</v>
      </c>
      <c r="E276" s="18">
        <v>-5.6948429378333401E-2</v>
      </c>
    </row>
    <row r="277" spans="1:5" x14ac:dyDescent="0.2">
      <c r="A277" s="11">
        <v>45658</v>
      </c>
      <c r="B277" s="35">
        <v>2.70163042404441E-2</v>
      </c>
      <c r="C277" s="19">
        <v>0.17902250216139201</v>
      </c>
      <c r="D277" s="19">
        <v>0.129969231445689</v>
      </c>
      <c r="E277" s="13">
        <v>8.2795302373435603E-2</v>
      </c>
    </row>
    <row r="278" spans="1:5" x14ac:dyDescent="0.2">
      <c r="A278" s="10">
        <v>45689</v>
      </c>
      <c r="B278" s="34">
        <v>-1.42420926998251E-2</v>
      </c>
      <c r="C278" s="17">
        <v>1.9185165709484999E-2</v>
      </c>
      <c r="D278" s="17">
        <v>-0.15575508624920401</v>
      </c>
      <c r="E278" s="18">
        <v>-7.0151091313160902E-3</v>
      </c>
    </row>
    <row r="279" spans="1:5" x14ac:dyDescent="0.2">
      <c r="A279" s="11">
        <v>45717</v>
      </c>
      <c r="B279" s="35">
        <v>-5.7544697681375399E-2</v>
      </c>
      <c r="C279" s="19">
        <v>-4.8578904718754798E-2</v>
      </c>
      <c r="D279" s="19">
        <v>-8.5522137260636302E-2</v>
      </c>
      <c r="E279" s="13">
        <v>9.4666208256198897E-2</v>
      </c>
    </row>
    <row r="280" spans="1:5" x14ac:dyDescent="0.2">
      <c r="A280" s="10">
        <v>45748</v>
      </c>
      <c r="B280" s="34">
        <v>-7.6249433462898296E-3</v>
      </c>
      <c r="C280" s="17">
        <v>-5.4133156444252498E-2</v>
      </c>
      <c r="D280" s="17">
        <v>-8.01847016694619E-2</v>
      </c>
      <c r="E280" s="18">
        <v>-4.4853159080816801E-2</v>
      </c>
    </row>
    <row r="281" spans="1:5" x14ac:dyDescent="0.2">
      <c r="A281" s="11">
        <v>45778</v>
      </c>
      <c r="B281" s="35">
        <v>6.1523826140782903E-2</v>
      </c>
      <c r="C281" s="19">
        <v>6.7957768228273499E-2</v>
      </c>
      <c r="D281" s="19">
        <v>4.2358559067253498E-2</v>
      </c>
      <c r="E281" s="13">
        <v>1.35135004518676E-2</v>
      </c>
    </row>
    <row r="282" spans="1:5" x14ac:dyDescent="0.2">
      <c r="A282" s="10">
        <v>45809</v>
      </c>
      <c r="B282" s="34">
        <v>4.9606839467715803E-2</v>
      </c>
      <c r="C282" s="17">
        <v>3.1247764237878301E-2</v>
      </c>
      <c r="D282" s="17">
        <v>5.4413890551249497E-2</v>
      </c>
      <c r="E282" s="18">
        <v>9.36667124430339E-2</v>
      </c>
    </row>
    <row r="283" spans="1:5" x14ac:dyDescent="0.2">
      <c r="A283" s="11">
        <v>45839</v>
      </c>
      <c r="B283" s="35">
        <v>2.1666562530640698E-2</v>
      </c>
      <c r="C283" s="19">
        <v>-1.9837155469775301E-2</v>
      </c>
      <c r="D283" s="19">
        <v>-2.7116334795429398E-2</v>
      </c>
      <c r="E283" s="13">
        <v>1.5543989642998499E-2</v>
      </c>
    </row>
    <row r="284" spans="1:5" x14ac:dyDescent="0.2">
      <c r="A284" s="10">
        <v>45870</v>
      </c>
      <c r="B284" s="34">
        <v>1.9066444295036102E-2</v>
      </c>
      <c r="C284" s="17">
        <v>4.2286536356374201E-2</v>
      </c>
      <c r="D284" s="17">
        <v>9.6808975022983704E-2</v>
      </c>
      <c r="E284" s="18">
        <v>8.6134422514132697E-2</v>
      </c>
    </row>
    <row r="285" spans="1:5" x14ac:dyDescent="0.2">
      <c r="A285" s="11">
        <v>45901</v>
      </c>
      <c r="B285" s="35">
        <v>3.5323687218701501E-2</v>
      </c>
      <c r="C285" s="19">
        <v>2.3597630341376501E-3</v>
      </c>
      <c r="D285" s="19">
        <v>2.1406964477142899E-2</v>
      </c>
      <c r="E285" s="13">
        <v>0.17076541972054099</v>
      </c>
    </row>
    <row r="286" spans="1:5" x14ac:dyDescent="0.2">
      <c r="A286" s="10">
        <v>45931</v>
      </c>
      <c r="B286" s="34">
        <v>2.26868719049238E-2</v>
      </c>
      <c r="C286" s="17">
        <v>7.2947595427908907E-2</v>
      </c>
      <c r="D286" s="17">
        <v>0.14260921399232299</v>
      </c>
      <c r="E286" s="18">
        <v>3.8706618621467299E-2</v>
      </c>
    </row>
    <row r="287" spans="1:5" x14ac:dyDescent="0.2">
      <c r="A287" s="12">
        <v>45962</v>
      </c>
      <c r="B287" s="35">
        <v>-6.4194256010359201E-3</v>
      </c>
      <c r="C287" s="20">
        <v>-1.3093049103791299E-2</v>
      </c>
      <c r="D287" s="20">
        <v>2.80133684339701E-3</v>
      </c>
      <c r="E287" s="21">
        <v>-8.1798866026804307E-3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BC43-8C11-4E4B-8DA4-8DABE385DCD9}">
  <dimension ref="A2:I18"/>
  <sheetViews>
    <sheetView showGridLines="0" workbookViewId="0">
      <selection activeCell="D24" sqref="D24"/>
    </sheetView>
  </sheetViews>
  <sheetFormatPr baseColWidth="10" defaultColWidth="11" defaultRowHeight="16" x14ac:dyDescent="0.2"/>
  <cols>
    <col min="3" max="3" width="14.5" bestFit="1" customWidth="1"/>
    <col min="4" max="4" width="14.6640625" bestFit="1" customWidth="1"/>
    <col min="11" max="11" width="12.6640625" bestFit="1" customWidth="1"/>
  </cols>
  <sheetData>
    <row r="2" spans="1:9" ht="17" thickBot="1" x14ac:dyDescent="0.25">
      <c r="C2" s="116" t="s">
        <v>40</v>
      </c>
      <c r="D2" s="116" t="s">
        <v>41</v>
      </c>
      <c r="E2" s="116" t="s">
        <v>42</v>
      </c>
      <c r="F2" s="116" t="s">
        <v>43</v>
      </c>
      <c r="G2" s="116" t="s">
        <v>44</v>
      </c>
      <c r="H2" s="116" t="s">
        <v>45</v>
      </c>
      <c r="I2" s="116" t="s">
        <v>46</v>
      </c>
    </row>
    <row r="3" spans="1:9" x14ac:dyDescent="0.2">
      <c r="B3" s="116" t="s">
        <v>2</v>
      </c>
      <c r="C3" s="118">
        <f>SUM(A_ret)/COUNT(A_ret)</f>
        <v>1.1785256594471598E-2</v>
      </c>
      <c r="D3" s="52" cm="1">
        <f t="array" ref="D3">(PRODUCT(1+A_60))^(1/COUNT(A_60))-1</f>
        <v>6.5589739774640776E-3</v>
      </c>
      <c r="E3" s="91">
        <f>VAR(A_ret)</f>
        <v>9.0135826130218633E-3</v>
      </c>
      <c r="F3" s="25">
        <f>CORREL(A_ret,GSPC_ret)</f>
        <v>0.63746985559023062</v>
      </c>
      <c r="G3" s="121">
        <f>_xlfn.STDEV.S(A_ret)</f>
        <v>9.4939889472349104E-2</v>
      </c>
      <c r="H3" s="123"/>
      <c r="I3" s="26"/>
    </row>
    <row r="4" spans="1:9" x14ac:dyDescent="0.2">
      <c r="B4" s="117" t="s">
        <v>47</v>
      </c>
      <c r="C4" s="119">
        <f>SUM(A_60)/COUNT(A_60)</f>
        <v>9.807630980386485E-3</v>
      </c>
      <c r="D4" s="53" cm="1">
        <f t="array" ref="D4">(PRODUCT(1+A_60))^(1/COUNT(A_60))-1</f>
        <v>6.5589739774640776E-3</v>
      </c>
      <c r="E4" s="92">
        <f>VAR(A_60)</f>
        <v>6.7070389596958048E-3</v>
      </c>
      <c r="F4" s="120"/>
      <c r="G4" s="122">
        <f>_xlfn.STDEV.S(A_60)</f>
        <v>8.1896513721255587E-2</v>
      </c>
      <c r="H4" s="124">
        <f>INTERCEPT(A_60,GSPC_60)</f>
        <v>-7.0882186393620913E-3</v>
      </c>
      <c r="I4" s="28">
        <f>SLOPE(A_60,GSPC_60)</f>
        <v>1.2932843335248601</v>
      </c>
    </row>
    <row r="5" spans="1:9" x14ac:dyDescent="0.2">
      <c r="B5" s="116" t="s">
        <v>48</v>
      </c>
      <c r="C5" s="119">
        <f>SUM(GSPC_ret)/COUNT(GSPC_ret)</f>
        <v>7.2239438569008029E-3</v>
      </c>
      <c r="D5" s="53" cm="1">
        <f t="array" ref="D5">(PRODUCT(1+GSPC_60))^(1/COUNT(GSPC_60))-1</f>
        <v>1.2065638085319241E-2</v>
      </c>
      <c r="E5" s="92">
        <f>VAR(GSPC_ret)</f>
        <v>1.8458188962196015E-3</v>
      </c>
      <c r="F5" s="120">
        <f>CORREL(GSPC_ret,GSPC_ret)</f>
        <v>0.99999999999999989</v>
      </c>
      <c r="G5" s="122">
        <f>_xlfn.STDEV.S(GSPC_ret)</f>
        <v>4.2962994497818721E-2</v>
      </c>
      <c r="H5" s="124"/>
      <c r="I5" s="28"/>
    </row>
    <row r="6" spans="1:9" x14ac:dyDescent="0.2">
      <c r="B6" s="117" t="s">
        <v>49</v>
      </c>
      <c r="C6" s="119">
        <f>SUM(GSPC_60)/COUNT(GSPC_60)</f>
        <v>1.3064296212186195E-2</v>
      </c>
      <c r="D6" s="53" cm="1">
        <f t="array" ref="D6">(PRODUCT(1+GSPC_60))^(1/COUNT(GSPC_60))-1</f>
        <v>1.2065638085319241E-2</v>
      </c>
      <c r="E6" s="92">
        <f>VAR(GSPC_60)</f>
        <v>2.0287317987798268E-3</v>
      </c>
      <c r="F6" s="120"/>
      <c r="G6" s="122">
        <f>_xlfn.STDEV.S(GSPC_60)</f>
        <v>4.5041445345146584E-2</v>
      </c>
      <c r="H6" s="124">
        <f>INTERCEPT(GSPC_60,GSPC_60)</f>
        <v>0</v>
      </c>
      <c r="I6" s="28">
        <f>SLOPE(GSPC_60,GSPC_60)</f>
        <v>1</v>
      </c>
    </row>
    <row r="7" spans="1:9" x14ac:dyDescent="0.2">
      <c r="B7" s="116" t="s">
        <v>3</v>
      </c>
      <c r="C7" s="119">
        <f>SUM(MMM_ret)/COUNT(MMM_ret)</f>
        <v>8.6779335068851958E-3</v>
      </c>
      <c r="D7" s="53" cm="1">
        <f t="array" ref="D7">(PRODUCT(1+MMM_60))^(1/COUNT(MMM_60))-1</f>
        <v>6.4873866884145315E-3</v>
      </c>
      <c r="E7" s="92">
        <f>VAR(MMM_ret)</f>
        <v>3.8692703763961367E-3</v>
      </c>
      <c r="F7" s="120">
        <f>CORREL(MMM_ret,GSPC_ret)</f>
        <v>0.61430068566867613</v>
      </c>
      <c r="G7" s="122">
        <f>_xlfn.STDEV.S(MMM_ret)</f>
        <v>6.2203459521124195E-2</v>
      </c>
      <c r="H7" s="124"/>
      <c r="I7" s="28"/>
    </row>
    <row r="8" spans="1:9" x14ac:dyDescent="0.2">
      <c r="B8" s="117" t="s">
        <v>50</v>
      </c>
      <c r="C8" s="119">
        <f>SUM(MMM_60)/COUNT(MMM_60)</f>
        <v>9.5382100737338715E-3</v>
      </c>
      <c r="D8" s="53" cm="1">
        <f t="array" ref="D8">(PRODUCT(1+MMM_60))^(1/COUNT(MMM_60))-1</f>
        <v>6.4873866884145315E-3</v>
      </c>
      <c r="E8" s="92">
        <f>VAR(MMM_60)</f>
        <v>6.3556501360700042E-3</v>
      </c>
      <c r="F8" s="120"/>
      <c r="G8" s="122">
        <f>_xlfn.STDEV.S(MMM_60)</f>
        <v>7.9722331476632088E-2</v>
      </c>
      <c r="H8" s="124">
        <f>INTERCEPT(MMM_60,GSPC_60)</f>
        <v>-4.0239608026161212E-3</v>
      </c>
      <c r="I8" s="28">
        <f>SLOPE(MMM_60,GSPC_60)</f>
        <v>1.0381095664150195</v>
      </c>
    </row>
    <row r="9" spans="1:9" x14ac:dyDescent="0.2">
      <c r="B9" s="116" t="s">
        <v>4</v>
      </c>
      <c r="C9" s="115">
        <f>AVERAGE(SLV_ret)</f>
        <v>8.9298086015243243E-3</v>
      </c>
      <c r="D9" s="53" cm="1">
        <f t="array" ref="D9">(PRODUCT(1+SLV_60))^(1/COUNT(SLV_60))-1</f>
        <v>1.1303000342541614E-2</v>
      </c>
      <c r="E9" s="92">
        <f>VAR(SLV_ret)</f>
        <v>8.1768640969263687E-3</v>
      </c>
      <c r="F9" s="120">
        <f>CORREL(SLV_ret,GSPC_ret)</f>
        <v>0.26487429449406569</v>
      </c>
      <c r="G9" s="122">
        <f>_xlfn.STDEV.S(SLV_ret)</f>
        <v>9.0426014492104911E-2</v>
      </c>
      <c r="H9" s="124"/>
      <c r="I9" s="28"/>
    </row>
    <row r="10" spans="1:9" ht="17" thickBot="1" x14ac:dyDescent="0.25">
      <c r="B10" s="117" t="s">
        <v>51</v>
      </c>
      <c r="C10" s="109">
        <f>AVERAGE(SLV_60)</f>
        <v>1.3874331881152136E-2</v>
      </c>
      <c r="D10" s="54" cm="1">
        <f t="array" ref="D10">(PRODUCT(1+SLV_60))^(1/COUNT(SLV_60))-1</f>
        <v>1.1303000342541614E-2</v>
      </c>
      <c r="E10" s="93">
        <f>VAR(SLV_60)</f>
        <v>5.3701135429399145E-3</v>
      </c>
      <c r="F10" s="30"/>
      <c r="G10" s="63">
        <f>_xlfn.STDEV.S(SLV_60)</f>
        <v>7.3281058554990286E-2</v>
      </c>
      <c r="H10" s="125">
        <f>INTERCEPT(SLV_60,GSPC_60)</f>
        <v>8.7572016062650894E-3</v>
      </c>
      <c r="I10" s="39">
        <f>SLOPE(SLV_60,GSPC_60)</f>
        <v>0.39168816993860395</v>
      </c>
    </row>
    <row r="11" spans="1:9" x14ac:dyDescent="0.2">
      <c r="C11" s="8"/>
    </row>
    <row r="13" spans="1:9" x14ac:dyDescent="0.2">
      <c r="A13" t="s">
        <v>52</v>
      </c>
    </row>
    <row r="14" spans="1:9" ht="17" thickBot="1" x14ac:dyDescent="0.25">
      <c r="C14" s="32" t="s">
        <v>48</v>
      </c>
      <c r="D14" s="32" t="s">
        <v>2</v>
      </c>
      <c r="E14" s="32" t="s">
        <v>3</v>
      </c>
      <c r="F14" s="32" t="s">
        <v>4</v>
      </c>
    </row>
    <row r="15" spans="1:9" x14ac:dyDescent="0.2">
      <c r="B15" s="32" t="s">
        <v>48</v>
      </c>
      <c r="C15" s="24">
        <f>CORREL(GSPC_comm,GSPC_comm)</f>
        <v>0.99999999999999989</v>
      </c>
      <c r="D15" s="25">
        <f>CORREL(GSPC_comm,A_comm)</f>
        <v>0.68014066244640214</v>
      </c>
      <c r="E15" s="25">
        <f>CORREL(GSPC_comm,MMM_comm)</f>
        <v>0.65863400685036466</v>
      </c>
      <c r="F15" s="26">
        <f>CORREL(GSPC_comm,SLV_comm)</f>
        <v>0.26487429449406569</v>
      </c>
    </row>
    <row r="16" spans="1:9" x14ac:dyDescent="0.2">
      <c r="B16" s="32" t="s">
        <v>2</v>
      </c>
      <c r="C16" s="27">
        <f>CORREL(A_comm,GSPC_comm)</f>
        <v>0.68014066244640214</v>
      </c>
      <c r="D16" s="23">
        <f>CORREL(A_comm,A_comm)</f>
        <v>1</v>
      </c>
      <c r="E16">
        <f>CORREL(A_comm,MMM_comm)</f>
        <v>0.61400623201602156</v>
      </c>
      <c r="F16" s="28">
        <f>CORREL(A_comm,SLV_comm)</f>
        <v>0.21918148254265893</v>
      </c>
    </row>
    <row r="17" spans="2:6" x14ac:dyDescent="0.2">
      <c r="B17" s="32" t="s">
        <v>3</v>
      </c>
      <c r="C17" s="27">
        <f>CORREL(MMM_comm,GSPC_comm)</f>
        <v>0.65863400685036466</v>
      </c>
      <c r="D17">
        <f>CORREL(MMM_comm,A_comm)</f>
        <v>0.61400623201602156</v>
      </c>
      <c r="E17" s="23">
        <f>CORREL(MMM_comm,MMM_comm)</f>
        <v>1</v>
      </c>
      <c r="F17" s="28">
        <f>CORREL(MMM_comm,SLV_comm)</f>
        <v>0.13936159887164221</v>
      </c>
    </row>
    <row r="18" spans="2:6" ht="17" thickBot="1" x14ac:dyDescent="0.25">
      <c r="B18" s="32" t="s">
        <v>4</v>
      </c>
      <c r="C18" s="29">
        <f>CORREL(SLV_comm,GSPC_comm)</f>
        <v>0.26487429449406569</v>
      </c>
      <c r="D18" s="30">
        <f>CORREL(SLV_comm,A_comm)</f>
        <v>0.21918148254265893</v>
      </c>
      <c r="E18" s="30">
        <f>CORREL(SLV_comm,MMM_comm)</f>
        <v>0.13936159887164221</v>
      </c>
      <c r="F18" s="31">
        <f>CORREL(SLV_comm,SLV_comm)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F000-E614-E04C-8240-BACEA6BEF27D}">
  <dimension ref="B1:O38"/>
  <sheetViews>
    <sheetView showGridLines="0" workbookViewId="0">
      <selection activeCell="I25" sqref="I25"/>
    </sheetView>
  </sheetViews>
  <sheetFormatPr baseColWidth="10" defaultColWidth="11" defaultRowHeight="16" x14ac:dyDescent="0.2"/>
  <cols>
    <col min="1" max="1" width="2.1640625" customWidth="1"/>
    <col min="6" max="6" width="16.6640625" bestFit="1" customWidth="1"/>
    <col min="7" max="7" width="12.6640625" bestFit="1" customWidth="1"/>
    <col min="9" max="9" width="13.1640625" bestFit="1" customWidth="1"/>
    <col min="10" max="10" width="12.6640625" bestFit="1" customWidth="1"/>
    <col min="14" max="14" width="7.1640625" bestFit="1" customWidth="1"/>
    <col min="15" max="15" width="11.1640625" customWidth="1"/>
  </cols>
  <sheetData>
    <row r="1" spans="2:15" ht="11.25" customHeight="1" thickBot="1" x14ac:dyDescent="0.25"/>
    <row r="2" spans="2:15" ht="17" thickBot="1" x14ac:dyDescent="0.25">
      <c r="D2" s="56" t="s">
        <v>53</v>
      </c>
      <c r="E2" s="56" t="s">
        <v>54</v>
      </c>
      <c r="F2" s="56" t="s">
        <v>55</v>
      </c>
      <c r="H2" s="79" t="s">
        <v>40</v>
      </c>
      <c r="I2" s="80"/>
      <c r="J2" s="80"/>
      <c r="K2" s="81"/>
    </row>
    <row r="3" spans="2:15" x14ac:dyDescent="0.2">
      <c r="C3" s="56" t="s">
        <v>1</v>
      </c>
      <c r="D3" s="114">
        <f>AVERAGE(GSPC_08)</f>
        <v>2.114166481799865E-3</v>
      </c>
      <c r="E3" s="52" cm="1">
        <f t="array" ref="E3">(PRODUCT(1+GSPC_08))^(1/COUNT(GSPC_08))-1</f>
        <v>1.469761302075101E-3</v>
      </c>
      <c r="F3" s="126">
        <f>_xlfn.STDEV.S(GSPC_08)</f>
        <v>3.588686064456334E-2</v>
      </c>
      <c r="H3" s="67" t="s">
        <v>56</v>
      </c>
      <c r="I3" s="68" t="s">
        <v>57</v>
      </c>
      <c r="J3" s="56" t="s">
        <v>58</v>
      </c>
      <c r="K3" s="69" t="s">
        <v>59</v>
      </c>
      <c r="M3" s="106" t="s">
        <v>44</v>
      </c>
      <c r="N3" s="107" t="s">
        <v>60</v>
      </c>
      <c r="O3" s="108" t="s">
        <v>61</v>
      </c>
    </row>
    <row r="4" spans="2:15" ht="17" thickBot="1" x14ac:dyDescent="0.25">
      <c r="C4" s="56" t="s">
        <v>3</v>
      </c>
      <c r="D4" s="115">
        <f>AVERAGE(MMM_08)</f>
        <v>6.2803017870799093E-3</v>
      </c>
      <c r="E4" s="53" cm="1">
        <f t="array" ref="E4">PRODUCT(1+MMM_08)^(1/COUNT(MMM_08))-1</f>
        <v>4.8361221020527534E-3</v>
      </c>
      <c r="F4" s="127">
        <f>_xlfn.STDEV.S(MMM_08)</f>
        <v>5.4194945708857682E-2</v>
      </c>
      <c r="H4" s="70">
        <f>1%/12</f>
        <v>8.3333333333333339E-4</v>
      </c>
      <c r="I4" s="71">
        <v>0</v>
      </c>
      <c r="J4" s="71">
        <v>0.76392465019734601</v>
      </c>
      <c r="K4" s="72">
        <v>0.23607534980265429</v>
      </c>
      <c r="L4" s="104">
        <f>SUM(I4:K4)</f>
        <v>1.0000000000000002</v>
      </c>
      <c r="M4" s="109">
        <f>SQRT(SUM(D28:F30))</f>
        <v>5.3306595809812979E-2</v>
      </c>
      <c r="N4" s="63">
        <f>D3*I4+D4*J4+D5*K4</f>
        <v>7.1202263404326529E-3</v>
      </c>
      <c r="O4" s="110">
        <f>(N4-H4)/M4</f>
        <v>0.11793836975689963</v>
      </c>
    </row>
    <row r="5" spans="2:15" ht="17" thickBot="1" x14ac:dyDescent="0.25">
      <c r="C5" s="56" t="s">
        <v>2</v>
      </c>
      <c r="D5" s="109">
        <f>AVERAGE(A_08)</f>
        <v>9.8381681803940413E-3</v>
      </c>
      <c r="E5" s="54" cm="1">
        <f t="array" ref="E5">PRODUCT(1+A_08)^(1/COUNT(A_08))-1</f>
        <v>2.9775762382762139E-3</v>
      </c>
      <c r="F5" s="128">
        <f>_xlfn.STDEV.S(A_08)</f>
        <v>0.11936988509875951</v>
      </c>
      <c r="L5" s="36"/>
      <c r="M5" s="7"/>
    </row>
    <row r="6" spans="2:15" ht="17" thickBot="1" x14ac:dyDescent="0.25">
      <c r="L6" s="36"/>
      <c r="M6" s="7"/>
    </row>
    <row r="7" spans="2:15" ht="17" thickBot="1" x14ac:dyDescent="0.25">
      <c r="H7" s="79" t="s">
        <v>41</v>
      </c>
      <c r="I7" s="80"/>
      <c r="J7" s="80"/>
      <c r="K7" s="81"/>
      <c r="L7" s="36"/>
    </row>
    <row r="8" spans="2:15" x14ac:dyDescent="0.2">
      <c r="H8" s="67" t="s">
        <v>56</v>
      </c>
      <c r="I8" s="56" t="s">
        <v>57</v>
      </c>
      <c r="J8" s="56" t="s">
        <v>58</v>
      </c>
      <c r="K8" s="69" t="s">
        <v>59</v>
      </c>
      <c r="L8" s="36"/>
      <c r="M8" s="111" t="s">
        <v>44</v>
      </c>
      <c r="N8" s="107" t="s">
        <v>60</v>
      </c>
      <c r="O8" s="108" t="s">
        <v>61</v>
      </c>
    </row>
    <row r="9" spans="2:15" ht="17" thickBot="1" x14ac:dyDescent="0.25">
      <c r="H9" s="70">
        <f>1%/12</f>
        <v>8.3333333333333339E-4</v>
      </c>
      <c r="I9" s="73">
        <v>0</v>
      </c>
      <c r="J9" s="73">
        <v>1.0000000000000002</v>
      </c>
      <c r="K9" s="74">
        <v>0</v>
      </c>
      <c r="L9" s="105">
        <f>SUM(I9:K9)</f>
        <v>1.0000000000000002</v>
      </c>
      <c r="M9" s="109">
        <f>SQRT(SUM(D36:F38))</f>
        <v>5.3622616229039868E-2</v>
      </c>
      <c r="N9" s="112">
        <f>I9*E3+J9*E4+K9*E5</f>
        <v>4.8361221020527543E-3</v>
      </c>
      <c r="O9" s="113">
        <f>(N9-H9)/M9</f>
        <v>7.4647397874475024E-2</v>
      </c>
    </row>
    <row r="10" spans="2:15" x14ac:dyDescent="0.2">
      <c r="B10" t="s">
        <v>52</v>
      </c>
      <c r="L10" s="36"/>
    </row>
    <row r="11" spans="2:15" ht="16.25" customHeight="1" thickBot="1" x14ac:dyDescent="0.25">
      <c r="D11" s="55" t="s">
        <v>1</v>
      </c>
      <c r="E11" s="55" t="s">
        <v>2</v>
      </c>
      <c r="F11" s="55" t="s">
        <v>3</v>
      </c>
      <c r="L11" s="36"/>
    </row>
    <row r="12" spans="2:15" ht="17" thickBot="1" x14ac:dyDescent="0.25">
      <c r="C12" s="55" t="s">
        <v>1</v>
      </c>
      <c r="D12" s="24">
        <f>CORREL(GSPC_08,GSPC_08)</f>
        <v>1</v>
      </c>
      <c r="E12" s="25">
        <f>CORREL(GSPC_08,A_08)</f>
        <v>0.54122944720362909</v>
      </c>
      <c r="F12" s="26">
        <f>CORREL(GSPC_08,MMM_08)</f>
        <v>0.39690826315220429</v>
      </c>
      <c r="H12" s="79" t="s">
        <v>62</v>
      </c>
      <c r="I12" s="80"/>
      <c r="J12" s="80"/>
      <c r="K12" s="81"/>
      <c r="L12" s="36"/>
    </row>
    <row r="13" spans="2:15" x14ac:dyDescent="0.2">
      <c r="C13" s="55" t="s">
        <v>2</v>
      </c>
      <c r="D13" s="27">
        <f>CORREL(A_08,GSPC_08)</f>
        <v>0.54122944720362909</v>
      </c>
      <c r="E13" s="23">
        <f>CORREL(A_08,A_08)</f>
        <v>1</v>
      </c>
      <c r="F13" s="28">
        <f>CORREL(A_08,MMM_08)</f>
        <v>0.14289757535340181</v>
      </c>
      <c r="H13" s="67" t="s">
        <v>56</v>
      </c>
      <c r="I13" s="75" t="s">
        <v>63</v>
      </c>
      <c r="J13" s="75" t="s">
        <v>64</v>
      </c>
      <c r="K13" s="76" t="s">
        <v>59</v>
      </c>
      <c r="L13" s="36"/>
      <c r="M13" s="106" t="s">
        <v>75</v>
      </c>
      <c r="N13" s="107" t="s">
        <v>60</v>
      </c>
      <c r="O13" s="108" t="s">
        <v>61</v>
      </c>
    </row>
    <row r="14" spans="2:15" ht="17" thickBot="1" x14ac:dyDescent="0.25">
      <c r="C14" s="55" t="s">
        <v>3</v>
      </c>
      <c r="D14" s="29">
        <f>CORREL(MMM_08,GSPC_08)</f>
        <v>0.39690826315220429</v>
      </c>
      <c r="E14" s="30">
        <f>CORREL(MMM_08,A_08)</f>
        <v>0.14289757535340181</v>
      </c>
      <c r="F14" s="31">
        <f>CORREL(MMM_08,MMM_08)</f>
        <v>1.0000000000000002</v>
      </c>
      <c r="H14" s="70">
        <v>8.0000000000000004E-4</v>
      </c>
      <c r="I14" s="77">
        <f>0</f>
        <v>0</v>
      </c>
      <c r="J14" s="77">
        <v>0.94111784499999995</v>
      </c>
      <c r="K14" s="78">
        <v>5.8831500000000002E-2</v>
      </c>
      <c r="L14" s="104">
        <f>SUM(I14:K14)</f>
        <v>0.99994934499999999</v>
      </c>
      <c r="M14" s="29" cm="1">
        <f t="array" ref="M14">SQRT(MMULT(MMULT(I14:K14,$D$20:$F$22),TRANSPOSE(I14:K14)))</f>
        <v>5.2469769709257832E-2</v>
      </c>
      <c r="N14" s="30">
        <f>I14*$D$3 + K14*$D$4 + J14*$D$5</f>
        <v>9.6283552112666031E-3</v>
      </c>
      <c r="O14" s="39">
        <f>(N14-H14)/M14</f>
        <v>0.16825603123828684</v>
      </c>
    </row>
    <row r="17" spans="2:10" x14ac:dyDescent="0.2">
      <c r="B17" t="s">
        <v>65</v>
      </c>
    </row>
    <row r="19" spans="2:10" ht="17" thickBot="1" x14ac:dyDescent="0.25">
      <c r="D19" s="55" t="s">
        <v>1</v>
      </c>
      <c r="E19" s="55" t="s">
        <v>2</v>
      </c>
      <c r="F19" s="55" t="s">
        <v>3</v>
      </c>
    </row>
    <row r="20" spans="2:10" x14ac:dyDescent="0.2">
      <c r="C20" s="55" t="s">
        <v>1</v>
      </c>
      <c r="D20" s="24">
        <f>$H20*H20*D12</f>
        <v>1.287866766922309E-3</v>
      </c>
      <c r="E20" s="25">
        <f>H20*I$20*E12</f>
        <v>1.0526298259433656E-3</v>
      </c>
      <c r="F20" s="26">
        <f>H20*J$20*F12</f>
        <v>1.70027975811804E-3</v>
      </c>
      <c r="H20">
        <f>_xlfn.STDEV.S(GSPC_08)</f>
        <v>3.588686064456334E-2</v>
      </c>
      <c r="I20">
        <f>F4</f>
        <v>5.4194945708857682E-2</v>
      </c>
      <c r="J20">
        <f>F5</f>
        <v>0.11936988509875951</v>
      </c>
    </row>
    <row r="21" spans="2:10" x14ac:dyDescent="0.2">
      <c r="C21" s="55" t="s">
        <v>2</v>
      </c>
      <c r="D21" s="27">
        <f>H$20*H21*D13</f>
        <v>1.0526298259433656E-3</v>
      </c>
      <c r="E21" s="23">
        <f>H21*I$20*E13</f>
        <v>2.9370921403860319E-3</v>
      </c>
      <c r="F21" s="28">
        <f>H21*J$20*F13</f>
        <v>9.2443934515882913E-4</v>
      </c>
      <c r="H21">
        <f>_xlfn.STDEV.S(MMM_08)</f>
        <v>5.4194945708857682E-2</v>
      </c>
    </row>
    <row r="22" spans="2:10" ht="17" thickBot="1" x14ac:dyDescent="0.25">
      <c r="C22" s="55" t="s">
        <v>3</v>
      </c>
      <c r="D22" s="29">
        <f>H$20*H22*D14</f>
        <v>1.70027975811804E-3</v>
      </c>
      <c r="E22" s="30">
        <f>H22*I$20*E14</f>
        <v>9.2443934515882913E-4</v>
      </c>
      <c r="F22" s="31">
        <f>H22*J$20*F14</f>
        <v>1.4249169468491051E-2</v>
      </c>
      <c r="H22">
        <f>_xlfn.STDEV.S(A_08)</f>
        <v>0.11936988509875951</v>
      </c>
    </row>
    <row r="25" spans="2:10" x14ac:dyDescent="0.2">
      <c r="B25" t="s">
        <v>87</v>
      </c>
    </row>
    <row r="26" spans="2:10" x14ac:dyDescent="0.2">
      <c r="D26" s="36">
        <f>I4</f>
        <v>0</v>
      </c>
      <c r="E26" s="36">
        <f>J4</f>
        <v>0.76392465019734601</v>
      </c>
      <c r="F26" s="36">
        <f>K4</f>
        <v>0.23607534980265429</v>
      </c>
    </row>
    <row r="27" spans="2:10" ht="17" thickBot="1" x14ac:dyDescent="0.25">
      <c r="D27" s="55" t="s">
        <v>1</v>
      </c>
      <c r="E27" s="55" t="s">
        <v>2</v>
      </c>
      <c r="F27" s="55" t="s">
        <v>3</v>
      </c>
    </row>
    <row r="28" spans="2:10" x14ac:dyDescent="0.2">
      <c r="B28" s="36">
        <f>I4</f>
        <v>0</v>
      </c>
      <c r="C28" s="55" t="s">
        <v>1</v>
      </c>
      <c r="D28" s="24">
        <f t="shared" ref="D28:F30" si="0">D20*D$26*$B28</f>
        <v>0</v>
      </c>
      <c r="E28" s="25">
        <f t="shared" si="0"/>
        <v>0</v>
      </c>
      <c r="F28" s="26">
        <f t="shared" si="0"/>
        <v>0</v>
      </c>
    </row>
    <row r="29" spans="2:10" x14ac:dyDescent="0.2">
      <c r="B29" s="36">
        <f>J4</f>
        <v>0.76392465019734601</v>
      </c>
      <c r="C29" s="55" t="s">
        <v>2</v>
      </c>
      <c r="D29" s="27">
        <f t="shared" si="0"/>
        <v>0</v>
      </c>
      <c r="E29" s="23">
        <f t="shared" si="0"/>
        <v>1.7140307900198781E-3</v>
      </c>
      <c r="F29" s="28">
        <f t="shared" si="0"/>
        <v>1.6671688497906152E-4</v>
      </c>
    </row>
    <row r="30" spans="2:10" ht="17" thickBot="1" x14ac:dyDescent="0.25">
      <c r="B30" s="36">
        <f>K4</f>
        <v>0.23607534980265429</v>
      </c>
      <c r="C30" s="55" t="s">
        <v>3</v>
      </c>
      <c r="D30" s="29">
        <f t="shared" si="0"/>
        <v>0</v>
      </c>
      <c r="E30" s="30">
        <f t="shared" si="0"/>
        <v>1.6671688497906152E-4</v>
      </c>
      <c r="F30" s="31">
        <f t="shared" si="0"/>
        <v>7.9412859685276985E-4</v>
      </c>
    </row>
    <row r="33" spans="2:6" x14ac:dyDescent="0.2">
      <c r="B33" t="s">
        <v>88</v>
      </c>
    </row>
    <row r="34" spans="2:6" x14ac:dyDescent="0.2">
      <c r="D34" s="36">
        <f>I9</f>
        <v>0</v>
      </c>
      <c r="E34" s="36">
        <f>J9</f>
        <v>1.0000000000000002</v>
      </c>
      <c r="F34" s="36">
        <f>K9</f>
        <v>0</v>
      </c>
    </row>
    <row r="35" spans="2:6" ht="17" thickBot="1" x14ac:dyDescent="0.25">
      <c r="D35" s="55" t="s">
        <v>1</v>
      </c>
      <c r="E35" s="55" t="s">
        <v>2</v>
      </c>
      <c r="F35" s="55" t="s">
        <v>3</v>
      </c>
    </row>
    <row r="36" spans="2:6" x14ac:dyDescent="0.2">
      <c r="B36" s="36">
        <f>I9</f>
        <v>0</v>
      </c>
      <c r="C36" s="55" t="s">
        <v>1</v>
      </c>
      <c r="D36" s="24">
        <v>1.4281025791724794E-4</v>
      </c>
      <c r="E36" s="25">
        <v>1.1672506876903387E-4</v>
      </c>
      <c r="F36" s="26">
        <v>1.8910851525740465E-4</v>
      </c>
    </row>
    <row r="37" spans="2:6" x14ac:dyDescent="0.2">
      <c r="B37" s="36">
        <f>J9</f>
        <v>1.0000000000000002</v>
      </c>
      <c r="C37" s="55" t="s">
        <v>2</v>
      </c>
      <c r="D37" s="27">
        <v>1.1672506876903387E-4</v>
      </c>
      <c r="E37" s="23">
        <v>3.256912103552667E-4</v>
      </c>
      <c r="F37" s="28">
        <v>1.0281799284725531E-4</v>
      </c>
    </row>
    <row r="38" spans="2:6" ht="17" thickBot="1" x14ac:dyDescent="0.25">
      <c r="B38" s="36">
        <f>K9</f>
        <v>0</v>
      </c>
      <c r="C38" s="55" t="s">
        <v>3</v>
      </c>
      <c r="D38" s="29">
        <v>1.8910851525740465E-4</v>
      </c>
      <c r="E38" s="30">
        <v>1.028179928472553E-4</v>
      </c>
      <c r="F38" s="31">
        <v>1.589580349226988E-3</v>
      </c>
    </row>
  </sheetData>
  <mergeCells count="3">
    <mergeCell ref="H12:K12"/>
    <mergeCell ref="H7:K7"/>
    <mergeCell ref="H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0B4D-6C5C-412C-AF79-09E5EB5C0967}">
  <dimension ref="B1:N290"/>
  <sheetViews>
    <sheetView showGridLines="0" workbookViewId="0">
      <selection activeCell="I3" sqref="I3"/>
    </sheetView>
  </sheetViews>
  <sheetFormatPr baseColWidth="10" defaultColWidth="8.6640625" defaultRowHeight="20" thickTop="1" thickBottom="1" x14ac:dyDescent="0.3"/>
  <cols>
    <col min="2" max="2" width="11.6640625" style="33" customWidth="1"/>
    <col min="3" max="3" width="11.6640625" style="8" customWidth="1"/>
    <col min="4" max="4" width="11.6640625" customWidth="1"/>
    <col min="5" max="5" width="11.6640625" style="8" customWidth="1"/>
    <col min="6" max="6" width="11.6640625" customWidth="1"/>
    <col min="7" max="7" width="11.6640625" style="8" customWidth="1"/>
    <col min="8" max="8" width="11.6640625" customWidth="1"/>
    <col min="9" max="9" width="11.6640625" style="8" customWidth="1"/>
    <col min="10" max="10" width="11.6640625" customWidth="1"/>
    <col min="11" max="11" width="11.6640625" style="8" customWidth="1"/>
    <col min="12" max="12" width="9.5" bestFit="1" customWidth="1"/>
    <col min="13" max="13" width="20.6640625" bestFit="1" customWidth="1"/>
  </cols>
  <sheetData>
    <row r="1" spans="2:14" ht="17" thickBot="1" x14ac:dyDescent="0.25">
      <c r="B1" s="3"/>
    </row>
    <row r="2" spans="2:14" s="144" customFormat="1" ht="17" thickBot="1" x14ac:dyDescent="0.25">
      <c r="B2" s="154" t="s">
        <v>34</v>
      </c>
      <c r="C2" s="155" t="s">
        <v>1</v>
      </c>
      <c r="D2" s="156" t="s">
        <v>2</v>
      </c>
      <c r="E2" s="157" t="s">
        <v>3</v>
      </c>
      <c r="F2" s="158" t="s">
        <v>66</v>
      </c>
      <c r="G2" s="157" t="s">
        <v>67</v>
      </c>
      <c r="H2" s="158" t="s">
        <v>68</v>
      </c>
      <c r="I2" s="157" t="s">
        <v>69</v>
      </c>
      <c r="J2" s="158" t="s">
        <v>70</v>
      </c>
      <c r="K2" s="157" t="s">
        <v>71</v>
      </c>
      <c r="M2" s="149" t="s">
        <v>72</v>
      </c>
      <c r="N2" s="150" t="s">
        <v>61</v>
      </c>
    </row>
    <row r="3" spans="2:14" ht="16" x14ac:dyDescent="0.2">
      <c r="B3" s="3">
        <v>39661</v>
      </c>
      <c r="C3" s="151">
        <v>-2.0766211039727599E-2</v>
      </c>
      <c r="D3" s="152">
        <v>-3.6051347260510097E-2</v>
      </c>
      <c r="E3" s="153">
        <v>1.7190543357461101E-2</v>
      </c>
      <c r="F3" s="153">
        <f>'Markowitz Model'!$I$4*C3+'Markowitz Model'!$J$4*D3+'Markowitz Model'!$K$4*E3</f>
        <v>-2.3482249308717899E-2</v>
      </c>
      <c r="G3" s="153">
        <f>'Markowitz Model'!$I$9*C3+'Markowitz Model'!$J$9*D3+'Markowitz Model'!$K$9*E3</f>
        <v>-3.6051347260510104E-2</v>
      </c>
      <c r="H3" s="153">
        <v>0.13</v>
      </c>
      <c r="I3" s="153">
        <f>H3/100</f>
        <v>1.2999999999999999E-3</v>
      </c>
      <c r="J3" s="153">
        <f>F3-I3</f>
        <v>-2.4782249308717898E-2</v>
      </c>
      <c r="K3" s="153">
        <f>G3-I3</f>
        <v>-3.7351347260510107E-2</v>
      </c>
      <c r="M3" s="145" t="s">
        <v>73</v>
      </c>
      <c r="N3" s="146">
        <f>AVERAGE(J3:J210)/_xlfn.STDEV.S(K3:K210)</f>
        <v>0.12789560016079679</v>
      </c>
    </row>
    <row r="4" spans="2:14" ht="17" thickBot="1" x14ac:dyDescent="0.25">
      <c r="B4" s="3">
        <v>39692</v>
      </c>
      <c r="C4" s="151">
        <v>3.6738892862074699E-2</v>
      </c>
      <c r="D4" s="152">
        <v>-0.14672057530173599</v>
      </c>
      <c r="E4" s="153">
        <v>-3.92133366349776E-2</v>
      </c>
      <c r="F4" s="153">
        <f>'Markowitz Model'!$I$4*C4+'Markowitz Model'!$J$4*D4+'Markowitz Model'!$K$4*E4</f>
        <v>-0.12134076632716362</v>
      </c>
      <c r="G4" s="153">
        <f>'Markowitz Model'!$I$9*C4+'Markowitz Model'!$J$9*D4+'Markowitz Model'!$K$9*E4</f>
        <v>-0.14672057530173602</v>
      </c>
      <c r="H4" s="153">
        <v>0.15</v>
      </c>
      <c r="I4" s="153">
        <f t="shared" ref="I4:I67" si="0">H4/100</f>
        <v>1.5E-3</v>
      </c>
      <c r="J4" s="153">
        <f t="shared" ref="J4:J67" si="1">F4-I4</f>
        <v>-0.12284076632716362</v>
      </c>
      <c r="K4" s="153">
        <f t="shared" ref="K4:K67" si="2">G4-I4</f>
        <v>-0.14822057530173602</v>
      </c>
      <c r="M4" s="147" t="s">
        <v>74</v>
      </c>
      <c r="N4" s="148">
        <f>AVERAGE(K3:K210)/_xlfn.STDEV.S(K3:K210)</f>
        <v>0.13611514399260127</v>
      </c>
    </row>
    <row r="5" spans="2:14" ht="16" x14ac:dyDescent="0.2">
      <c r="B5" s="3">
        <v>39722</v>
      </c>
      <c r="C5" s="151">
        <v>-6.14176259192191E-2</v>
      </c>
      <c r="D5" s="152">
        <v>-0.25185435870805101</v>
      </c>
      <c r="E5" s="153">
        <v>-5.8703048287048802E-2</v>
      </c>
      <c r="F5" s="153">
        <f>'Markowitz Model'!$I$4*C5+'Markowitz Model'!$J$4*D5+'Markowitz Model'!$K$4*E5</f>
        <v>-0.20625609553557192</v>
      </c>
      <c r="G5" s="153">
        <f>'Markowitz Model'!$I$9*C5+'Markowitz Model'!$J$9*D5+'Markowitz Model'!$K$9*E5</f>
        <v>-0.25185435870805106</v>
      </c>
      <c r="H5" s="153">
        <v>0.08</v>
      </c>
      <c r="I5" s="153">
        <f t="shared" si="0"/>
        <v>8.0000000000000004E-4</v>
      </c>
      <c r="J5" s="153">
        <f t="shared" si="1"/>
        <v>-0.20705609553557192</v>
      </c>
      <c r="K5" s="153">
        <f t="shared" si="2"/>
        <v>-0.25265435870805109</v>
      </c>
    </row>
    <row r="6" spans="2:14" ht="16" x14ac:dyDescent="0.2">
      <c r="B6" s="3">
        <v>39753</v>
      </c>
      <c r="C6" s="151">
        <v>-9.0814813521770104E-3</v>
      </c>
      <c r="D6" s="152">
        <v>-0.151419013508969</v>
      </c>
      <c r="E6" s="153">
        <v>4.0902240972654297E-2</v>
      </c>
      <c r="F6" s="153">
        <f>'Markowitz Model'!$I$4*C6+'Markowitz Model'!$J$4*D6+'Markowitz Model'!$K$4*E6</f>
        <v>-0.10601670608273453</v>
      </c>
      <c r="G6" s="153">
        <f>'Markowitz Model'!$I$9*C6+'Markowitz Model'!$J$9*D6+'Markowitz Model'!$K$9*E6</f>
        <v>-0.15141901350896902</v>
      </c>
      <c r="H6" s="153">
        <v>0.03</v>
      </c>
      <c r="I6" s="153">
        <f t="shared" si="0"/>
        <v>2.9999999999999997E-4</v>
      </c>
      <c r="J6" s="153">
        <f t="shared" si="1"/>
        <v>-0.10631670608273452</v>
      </c>
      <c r="K6" s="153">
        <f t="shared" si="2"/>
        <v>-0.15171901350896902</v>
      </c>
    </row>
    <row r="7" spans="2:14" ht="16" x14ac:dyDescent="0.2">
      <c r="B7" s="3">
        <v>39783</v>
      </c>
      <c r="C7" s="151">
        <v>-7.2455353808179801E-2</v>
      </c>
      <c r="D7" s="152">
        <v>-0.16994178793018999</v>
      </c>
      <c r="E7" s="153">
        <v>-0.13332564313167899</v>
      </c>
      <c r="F7" s="153">
        <f>'Markowitz Model'!$I$4*C7+'Markowitz Model'!$J$4*D7+'Markowitz Model'!$K$4*E7</f>
        <v>-0.16129761873845694</v>
      </c>
      <c r="G7" s="153">
        <f>'Markowitz Model'!$I$9*C7+'Markowitz Model'!$J$9*D7+'Markowitz Model'!$K$9*E7</f>
        <v>-0.16994178793019002</v>
      </c>
      <c r="H7" s="153">
        <v>0</v>
      </c>
      <c r="I7" s="153">
        <f t="shared" si="0"/>
        <v>0</v>
      </c>
      <c r="J7" s="153">
        <f t="shared" si="1"/>
        <v>-0.16129761873845694</v>
      </c>
      <c r="K7" s="153">
        <f t="shared" si="2"/>
        <v>-0.16994178793019002</v>
      </c>
    </row>
    <row r="8" spans="2:14" ht="16" x14ac:dyDescent="0.2">
      <c r="B8" s="3">
        <v>39814</v>
      </c>
      <c r="C8" s="151">
        <v>-7.9004275149407693E-2</v>
      </c>
      <c r="D8" s="152">
        <v>0.15674973820622301</v>
      </c>
      <c r="E8" s="153">
        <v>-6.5172430410236598E-2</v>
      </c>
      <c r="F8" s="153">
        <f>'Markowitz Model'!$I$4*C8+'Markowitz Model'!$J$4*D8+'Markowitz Model'!$K$4*E8</f>
        <v>0.10435938462112872</v>
      </c>
      <c r="G8" s="153">
        <f>'Markowitz Model'!$I$9*C8+'Markowitz Model'!$J$9*D8+'Markowitz Model'!$K$9*E8</f>
        <v>0.15674973820622304</v>
      </c>
      <c r="H8" s="153">
        <v>0</v>
      </c>
      <c r="I8" s="153">
        <f t="shared" si="0"/>
        <v>0</v>
      </c>
      <c r="J8" s="153">
        <f t="shared" si="1"/>
        <v>0.10435938462112872</v>
      </c>
      <c r="K8" s="153">
        <f t="shared" si="2"/>
        <v>0.15674973820622304</v>
      </c>
    </row>
    <row r="9" spans="2:14" ht="16" x14ac:dyDescent="0.2">
      <c r="B9" s="3">
        <v>39845</v>
      </c>
      <c r="C9" s="151">
        <v>4.8814333064943803E-3</v>
      </c>
      <c r="D9" s="152">
        <v>-0.23285379086990801</v>
      </c>
      <c r="E9" s="153">
        <v>-0.154861153324477</v>
      </c>
      <c r="F9" s="153">
        <f>'Markowitz Model'!$I$4*C9+'Markowitz Model'!$J$4*D9+'Markowitz Model'!$K$4*E9</f>
        <v>-0.21444165167933882</v>
      </c>
      <c r="G9" s="153">
        <f>'Markowitz Model'!$I$9*C9+'Markowitz Model'!$J$9*D9+'Markowitz Model'!$K$9*E9</f>
        <v>-0.23285379086990807</v>
      </c>
      <c r="H9" s="153">
        <v>0.01</v>
      </c>
      <c r="I9" s="153">
        <f t="shared" si="0"/>
        <v>1E-4</v>
      </c>
      <c r="J9" s="153">
        <f t="shared" si="1"/>
        <v>-0.21454165167933881</v>
      </c>
      <c r="K9" s="153">
        <f t="shared" si="2"/>
        <v>-0.23295379086990806</v>
      </c>
    </row>
    <row r="10" spans="2:14" ht="16" x14ac:dyDescent="0.2">
      <c r="B10" s="3">
        <v>39873</v>
      </c>
      <c r="C10" s="151">
        <v>-0.11002431825242801</v>
      </c>
      <c r="D10" s="152">
        <v>0.108147098281906</v>
      </c>
      <c r="E10" s="153">
        <v>0.105599519916466</v>
      </c>
      <c r="F10" s="153">
        <f>'Markowitz Model'!$I$4*C10+'Markowitz Model'!$J$4*D10+'Markowitz Model'!$K$4*E10</f>
        <v>0.10754567782813511</v>
      </c>
      <c r="G10" s="153">
        <f>'Markowitz Model'!$I$9*C10+'Markowitz Model'!$J$9*D10+'Markowitz Model'!$K$9*E10</f>
        <v>0.10814709828190602</v>
      </c>
      <c r="H10" s="153">
        <v>0.02</v>
      </c>
      <c r="I10" s="153">
        <f t="shared" si="0"/>
        <v>2.0000000000000001E-4</v>
      </c>
      <c r="J10" s="153">
        <f t="shared" si="1"/>
        <v>0.1073456778281351</v>
      </c>
      <c r="K10" s="153">
        <f t="shared" si="2"/>
        <v>0.10794709828190602</v>
      </c>
    </row>
    <row r="11" spans="2:14" ht="16" x14ac:dyDescent="0.2">
      <c r="B11" s="3">
        <v>39904</v>
      </c>
      <c r="C11" s="151">
        <v>8.6448800333713993E-2</v>
      </c>
      <c r="D11" s="152">
        <v>0.18802833169081201</v>
      </c>
      <c r="E11" s="153">
        <v>0.15848737376272101</v>
      </c>
      <c r="F11" s="153">
        <f>'Markowitz Model'!$I$4*C11+'Markowitz Model'!$J$4*D11+'Markowitz Model'!$K$4*E11</f>
        <v>0.1810544397144325</v>
      </c>
      <c r="G11" s="153">
        <f>'Markowitz Model'!$I$9*C11+'Markowitz Model'!$J$9*D11+'Markowitz Model'!$K$9*E11</f>
        <v>0.18802833169081207</v>
      </c>
      <c r="H11" s="153">
        <v>0.01</v>
      </c>
      <c r="I11" s="153">
        <f t="shared" si="0"/>
        <v>1E-4</v>
      </c>
      <c r="J11" s="153">
        <f t="shared" si="1"/>
        <v>0.18095443971443251</v>
      </c>
      <c r="K11" s="153">
        <f t="shared" si="2"/>
        <v>0.18792833169081208</v>
      </c>
    </row>
    <row r="12" spans="2:14" ht="16" x14ac:dyDescent="0.2">
      <c r="B12" s="3">
        <v>39934</v>
      </c>
      <c r="C12" s="151">
        <v>5.7069620704985898E-2</v>
      </c>
      <c r="D12" s="152">
        <v>-1.64280125967275E-3</v>
      </c>
      <c r="E12" s="153">
        <v>-8.6807093725863593E-3</v>
      </c>
      <c r="F12" s="153">
        <f>'Markowitz Model'!$I$4*C12+'Markowitz Model'!$J$4*D12+'Markowitz Model'!$K$4*E12</f>
        <v>-3.3042778793077694E-3</v>
      </c>
      <c r="G12" s="153">
        <f>'Markowitz Model'!$I$9*C12+'Markowitz Model'!$J$9*D12+'Markowitz Model'!$K$9*E12</f>
        <v>-1.6428012596727505E-3</v>
      </c>
      <c r="H12" s="153">
        <v>0</v>
      </c>
      <c r="I12" s="153">
        <f t="shared" si="0"/>
        <v>0</v>
      </c>
      <c r="J12" s="153">
        <f t="shared" si="1"/>
        <v>-3.3042778793077694E-3</v>
      </c>
      <c r="K12" s="153">
        <f t="shared" si="2"/>
        <v>-1.6428012596727505E-3</v>
      </c>
    </row>
    <row r="13" spans="2:14" ht="16" x14ac:dyDescent="0.2">
      <c r="B13" s="3">
        <v>39965</v>
      </c>
      <c r="C13" s="151">
        <v>-6.0332571885028802E-2</v>
      </c>
      <c r="D13" s="152">
        <v>0.114097421439302</v>
      </c>
      <c r="E13" s="153">
        <v>6.1717390387173901E-2</v>
      </c>
      <c r="F13" s="153">
        <f>'Markowitz Model'!$I$4*C13+'Markowitz Model'!$J$4*D13+'Markowitz Model'!$K$4*E13</f>
        <v>0.10173178728599699</v>
      </c>
      <c r="G13" s="153">
        <f>'Markowitz Model'!$I$9*C13+'Markowitz Model'!$J$9*D13+'Markowitz Model'!$K$9*E13</f>
        <v>0.11409742143930203</v>
      </c>
      <c r="H13" s="153">
        <v>0.01</v>
      </c>
      <c r="I13" s="153">
        <f t="shared" si="0"/>
        <v>1E-4</v>
      </c>
      <c r="J13" s="153">
        <f t="shared" si="1"/>
        <v>0.10163178728599699</v>
      </c>
      <c r="K13" s="153">
        <f t="shared" si="2"/>
        <v>0.11399742143930203</v>
      </c>
    </row>
    <row r="14" spans="2:14" ht="16" x14ac:dyDescent="0.2">
      <c r="B14" s="3">
        <v>39995</v>
      </c>
      <c r="C14" s="151">
        <v>-2.7414692683044601E-2</v>
      </c>
      <c r="D14" s="152">
        <v>0.14327938116496899</v>
      </c>
      <c r="E14" s="153">
        <v>0.17337755873598601</v>
      </c>
      <c r="F14" s="153">
        <f>'Markowitz Model'!$I$4*C14+'Markowitz Model'!$J$4*D14+'Markowitz Model'!$K$4*E14</f>
        <v>0.15038481896346928</v>
      </c>
      <c r="G14" s="153">
        <f>'Markowitz Model'!$I$9*C14+'Markowitz Model'!$J$9*D14+'Markowitz Model'!$K$9*E14</f>
        <v>0.14327938116496902</v>
      </c>
      <c r="H14" s="153">
        <v>0.01</v>
      </c>
      <c r="I14" s="153">
        <f t="shared" si="0"/>
        <v>1E-4</v>
      </c>
      <c r="J14" s="153">
        <f t="shared" si="1"/>
        <v>0.15028481896346929</v>
      </c>
      <c r="K14" s="153">
        <f t="shared" si="2"/>
        <v>0.14317938116496903</v>
      </c>
    </row>
    <row r="15" spans="2:14" ht="16" x14ac:dyDescent="0.2">
      <c r="B15" s="3">
        <v>40026</v>
      </c>
      <c r="C15" s="151">
        <v>-1.7003608256871701E-2</v>
      </c>
      <c r="D15" s="152">
        <v>0.105942828153249</v>
      </c>
      <c r="E15" s="153">
        <v>2.2404779292377601E-2</v>
      </c>
      <c r="F15" s="153">
        <f>'Markowitz Model'!$I$4*C15+'Markowitz Model'!$J$4*D15+'Markowitz Model'!$K$4*E15</f>
        <v>8.6221554046587601E-2</v>
      </c>
      <c r="G15" s="153">
        <f>'Markowitz Model'!$I$9*C15+'Markowitz Model'!$J$9*D15+'Markowitz Model'!$K$9*E15</f>
        <v>0.10594282815324903</v>
      </c>
      <c r="H15" s="153">
        <v>0.01</v>
      </c>
      <c r="I15" s="153">
        <f t="shared" si="0"/>
        <v>1E-4</v>
      </c>
      <c r="J15" s="153">
        <f t="shared" si="1"/>
        <v>8.6121554046587598E-2</v>
      </c>
      <c r="K15" s="153">
        <f t="shared" si="2"/>
        <v>0.10584282815324902</v>
      </c>
    </row>
    <row r="16" spans="2:14" ht="16" x14ac:dyDescent="0.2">
      <c r="B16" s="3">
        <v>40057</v>
      </c>
      <c r="C16" s="151">
        <v>8.3575676843328194E-3</v>
      </c>
      <c r="D16" s="152">
        <v>8.3723245372449698E-2</v>
      </c>
      <c r="E16" s="153">
        <v>3.1052976068430199E-2</v>
      </c>
      <c r="F16" s="153">
        <f>'Markowitz Model'!$I$4*C16+'Markowitz Model'!$J$4*D16+'Markowitz Model'!$K$4*E16</f>
        <v>7.1289093122303318E-2</v>
      </c>
      <c r="G16" s="153">
        <f>'Markowitz Model'!$I$9*C16+'Markowitz Model'!$J$9*D16+'Markowitz Model'!$K$9*E16</f>
        <v>8.3723245372449712E-2</v>
      </c>
      <c r="H16" s="153">
        <v>0.01</v>
      </c>
      <c r="I16" s="153">
        <f t="shared" si="0"/>
        <v>1E-4</v>
      </c>
      <c r="J16" s="153">
        <f t="shared" si="1"/>
        <v>7.1189093122303315E-2</v>
      </c>
      <c r="K16" s="153">
        <f t="shared" si="2"/>
        <v>8.3623245372449709E-2</v>
      </c>
    </row>
    <row r="17" spans="2:11" ht="16" x14ac:dyDescent="0.2">
      <c r="B17" s="3">
        <v>40087</v>
      </c>
      <c r="C17" s="151">
        <v>8.1044107180032299E-2</v>
      </c>
      <c r="D17" s="152">
        <v>-0.111031547362023</v>
      </c>
      <c r="E17" s="153">
        <v>-3.1163382575107902E-3</v>
      </c>
      <c r="F17" s="153">
        <f>'Markowitz Model'!$I$4*C17+'Markowitz Model'!$J$4*D17+'Markowitz Model'!$K$4*E17</f>
        <v>-8.5555426623648734E-2</v>
      </c>
      <c r="G17" s="153">
        <f>'Markowitz Model'!$I$9*C17+'Markowitz Model'!$J$9*D17+'Markowitz Model'!$K$9*E17</f>
        <v>-0.11103154736202303</v>
      </c>
      <c r="H17" s="153">
        <v>0</v>
      </c>
      <c r="I17" s="153">
        <f t="shared" si="0"/>
        <v>0</v>
      </c>
      <c r="J17" s="153">
        <f t="shared" si="1"/>
        <v>-8.5555426623648734E-2</v>
      </c>
      <c r="K17" s="153">
        <f t="shared" si="2"/>
        <v>-0.11103154736202303</v>
      </c>
    </row>
    <row r="18" spans="2:11" ht="16" x14ac:dyDescent="0.2">
      <c r="B18" s="3">
        <v>40118</v>
      </c>
      <c r="C18" s="151">
        <v>5.0898709609522599E-2</v>
      </c>
      <c r="D18" s="152">
        <v>0.16895723707834401</v>
      </c>
      <c r="E18" s="153">
        <v>5.2602538552194697E-2</v>
      </c>
      <c r="F18" s="153">
        <f>'Markowitz Model'!$I$4*C18+'Markowitz Model'!$J$4*D18+'Markowitz Model'!$K$4*E18</f>
        <v>0.14148876092260099</v>
      </c>
      <c r="G18" s="153">
        <f>'Markowitz Model'!$I$9*C18+'Markowitz Model'!$J$9*D18+'Markowitz Model'!$K$9*E18</f>
        <v>0.16895723707834404</v>
      </c>
      <c r="H18" s="153">
        <v>0</v>
      </c>
      <c r="I18" s="153">
        <f t="shared" si="0"/>
        <v>0</v>
      </c>
      <c r="J18" s="153">
        <f t="shared" si="1"/>
        <v>0.14148876092260099</v>
      </c>
      <c r="K18" s="153">
        <f t="shared" si="2"/>
        <v>0.16895723707834404</v>
      </c>
    </row>
    <row r="19" spans="2:11" ht="16" x14ac:dyDescent="0.2">
      <c r="B19" s="3">
        <v>40148</v>
      </c>
      <c r="C19" s="151">
        <v>1.1322214676852099E-2</v>
      </c>
      <c r="D19" s="152">
        <v>7.4343343018920593E-2</v>
      </c>
      <c r="E19" s="153">
        <v>7.4492144535510701E-2</v>
      </c>
      <c r="F19" s="153">
        <f>'Markowitz Model'!$I$4*C19+'Markowitz Model'!$J$4*D19+'Markowitz Model'!$K$4*E19</f>
        <v>7.4378471389000791E-2</v>
      </c>
      <c r="G19" s="153">
        <f>'Markowitz Model'!$I$9*C19+'Markowitz Model'!$J$9*D19+'Markowitz Model'!$K$9*E19</f>
        <v>7.4343343018920607E-2</v>
      </c>
      <c r="H19" s="153">
        <v>0.01</v>
      </c>
      <c r="I19" s="153">
        <f t="shared" si="0"/>
        <v>1E-4</v>
      </c>
      <c r="J19" s="153">
        <f t="shared" si="1"/>
        <v>7.4278471389000789E-2</v>
      </c>
      <c r="K19" s="153">
        <f t="shared" si="2"/>
        <v>7.4243343018920605E-2</v>
      </c>
    </row>
    <row r="20" spans="2:11" ht="16" x14ac:dyDescent="0.2">
      <c r="B20" s="3">
        <v>40179</v>
      </c>
      <c r="C20" s="151">
        <v>1.62237019585365E-2</v>
      </c>
      <c r="D20" s="152">
        <v>-9.7844090662813604E-2</v>
      </c>
      <c r="E20" s="153">
        <v>-2.6369595077164298E-2</v>
      </c>
      <c r="F20" s="153">
        <f>'Markowitz Model'!$I$4*C20+'Markowitz Model'!$J$4*D20+'Markowitz Model'!$K$4*E20</f>
        <v>-8.0970724115463202E-2</v>
      </c>
      <c r="G20" s="153">
        <f>'Markowitz Model'!$I$9*C20+'Markowitz Model'!$J$9*D20+'Markowitz Model'!$K$9*E20</f>
        <v>-9.7844090662813632E-2</v>
      </c>
      <c r="H20" s="153">
        <v>0</v>
      </c>
      <c r="I20" s="153">
        <f t="shared" si="0"/>
        <v>0</v>
      </c>
      <c r="J20" s="153">
        <f t="shared" si="1"/>
        <v>-8.0970724115463202E-2</v>
      </c>
      <c r="K20" s="153">
        <f t="shared" si="2"/>
        <v>-9.7844090662813632E-2</v>
      </c>
    </row>
    <row r="21" spans="2:11" ht="16" x14ac:dyDescent="0.2">
      <c r="B21" s="3">
        <v>40210</v>
      </c>
      <c r="C21" s="151">
        <v>1.7873203593487898E-2</v>
      </c>
      <c r="D21" s="152">
        <v>0.122369028832834</v>
      </c>
      <c r="E21" s="153">
        <v>-4.2244108881419598E-3</v>
      </c>
      <c r="F21" s="153">
        <f>'Markowitz Model'!$I$4*C21+'Markowitz Model'!$J$4*D21+'Markowitz Model'!$K$4*E21</f>
        <v>9.2483438267983401E-2</v>
      </c>
      <c r="G21" s="153">
        <f>'Markowitz Model'!$I$9*C21+'Markowitz Model'!$J$9*D21+'Markowitz Model'!$K$9*E21</f>
        <v>0.12236902883283403</v>
      </c>
      <c r="H21" s="153">
        <v>0</v>
      </c>
      <c r="I21" s="153">
        <f t="shared" si="0"/>
        <v>0</v>
      </c>
      <c r="J21" s="153">
        <f t="shared" si="1"/>
        <v>9.2483438267983401E-2</v>
      </c>
      <c r="K21" s="153">
        <f t="shared" si="2"/>
        <v>0.12236902883283403</v>
      </c>
    </row>
    <row r="22" spans="2:11" ht="16" x14ac:dyDescent="0.2">
      <c r="B22" s="3">
        <v>40238</v>
      </c>
      <c r="C22" s="151">
        <v>-1.19443645855257E-2</v>
      </c>
      <c r="D22" s="152">
        <v>9.3134335876228394E-2</v>
      </c>
      <c r="E22" s="153">
        <v>4.9517161870940199E-2</v>
      </c>
      <c r="F22" s="153">
        <f>'Markowitz Model'!$I$4*C22+'Markowitz Model'!$J$4*D22+'Markowitz Model'!$K$4*E22</f>
        <v>8.2837396265526775E-2</v>
      </c>
      <c r="G22" s="153">
        <f>'Markowitz Model'!$I$9*C22+'Markowitz Model'!$J$9*D22+'Markowitz Model'!$K$9*E22</f>
        <v>9.3134335876228408E-2</v>
      </c>
      <c r="H22" s="153">
        <v>0.01</v>
      </c>
      <c r="I22" s="153">
        <f t="shared" si="0"/>
        <v>1E-4</v>
      </c>
      <c r="J22" s="153">
        <f t="shared" si="1"/>
        <v>8.2737396265526772E-2</v>
      </c>
      <c r="K22" s="153">
        <f t="shared" si="2"/>
        <v>9.3034335876228405E-2</v>
      </c>
    </row>
    <row r="23" spans="2:11" ht="16" x14ac:dyDescent="0.2">
      <c r="B23" s="3">
        <v>40269</v>
      </c>
      <c r="C23" s="151">
        <v>5.4961486635716601E-2</v>
      </c>
      <c r="D23" s="152">
        <v>5.4376308740259803E-2</v>
      </c>
      <c r="E23" s="153">
        <v>6.1026673767690998E-2</v>
      </c>
      <c r="F23" s="153">
        <f>'Markowitz Model'!$I$4*C23+'Markowitz Model'!$J$4*D23+'Markowitz Model'!$K$4*E23</f>
        <v>5.5946295990425977E-2</v>
      </c>
      <c r="G23" s="153">
        <f>'Markowitz Model'!$I$9*C23+'Markowitz Model'!$J$9*D23+'Markowitz Model'!$K$9*E23</f>
        <v>5.4376308740259817E-2</v>
      </c>
      <c r="H23" s="153">
        <v>0.01</v>
      </c>
      <c r="I23" s="153">
        <f t="shared" si="0"/>
        <v>1E-4</v>
      </c>
      <c r="J23" s="153">
        <f t="shared" si="1"/>
        <v>5.5846295990425975E-2</v>
      </c>
      <c r="K23" s="153">
        <f t="shared" si="2"/>
        <v>5.4276308740259814E-2</v>
      </c>
    </row>
    <row r="24" spans="2:11" ht="16" x14ac:dyDescent="0.2">
      <c r="B24" s="3">
        <v>40299</v>
      </c>
      <c r="C24" s="151">
        <v>7.1285040713728902E-3</v>
      </c>
      <c r="D24" s="152">
        <v>-0.107556599860731</v>
      </c>
      <c r="E24" s="153">
        <v>-0.10556010133283</v>
      </c>
      <c r="F24" s="153">
        <f>'Markowitz Model'!$I$4*C24+'Markowitz Model'!$J$4*D24+'Markowitz Model'!$K$4*E24</f>
        <v>-0.10708527577237632</v>
      </c>
      <c r="G24" s="153">
        <f>'Markowitz Model'!$I$9*C24+'Markowitz Model'!$J$9*D24+'Markowitz Model'!$K$9*E24</f>
        <v>-0.10755659986073103</v>
      </c>
      <c r="H24" s="153">
        <v>0.01</v>
      </c>
      <c r="I24" s="153">
        <f t="shared" si="0"/>
        <v>1E-4</v>
      </c>
      <c r="J24" s="153">
        <f t="shared" si="1"/>
        <v>-0.10718527577237633</v>
      </c>
      <c r="K24" s="153">
        <f t="shared" si="2"/>
        <v>-0.10765659986073103</v>
      </c>
    </row>
    <row r="25" spans="2:11" ht="16" x14ac:dyDescent="0.2">
      <c r="B25" s="3">
        <v>40330</v>
      </c>
      <c r="C25" s="151">
        <v>5.0765540778892101E-2</v>
      </c>
      <c r="D25" s="152">
        <v>-0.121446048720877</v>
      </c>
      <c r="E25" s="153">
        <v>2.22818754683995E-3</v>
      </c>
      <c r="F25" s="153">
        <f>'Markowitz Model'!$I$4*C25+'Markowitz Model'!$J$4*D25+'Markowitz Model'!$K$4*E25</f>
        <v>-9.2249610132399643E-2</v>
      </c>
      <c r="G25" s="153">
        <f>'Markowitz Model'!$I$9*C25+'Markowitz Model'!$J$9*D25+'Markowitz Model'!$K$9*E25</f>
        <v>-0.12144604872087703</v>
      </c>
      <c r="H25" s="153">
        <v>0.01</v>
      </c>
      <c r="I25" s="153">
        <f t="shared" si="0"/>
        <v>1E-4</v>
      </c>
      <c r="J25" s="153">
        <f t="shared" si="1"/>
        <v>-9.2349610132399645E-2</v>
      </c>
      <c r="K25" s="153">
        <f t="shared" si="2"/>
        <v>-0.12154604872087703</v>
      </c>
    </row>
    <row r="26" spans="2:11" ht="16" x14ac:dyDescent="0.2">
      <c r="B26" s="3">
        <v>40360</v>
      </c>
      <c r="C26" s="151">
        <v>1.7276386950755299E-2</v>
      </c>
      <c r="D26" s="152">
        <v>-1.7587164129693099E-2</v>
      </c>
      <c r="E26" s="153">
        <v>8.2922033558172806E-2</v>
      </c>
      <c r="F26" s="153">
        <f>'Markowitz Model'!$I$4*C26+'Markowitz Model'!$J$4*D26+'Markowitz Model'!$K$4*E26</f>
        <v>6.1405798728539716E-3</v>
      </c>
      <c r="G26" s="153">
        <f>'Markowitz Model'!$I$9*C26+'Markowitz Model'!$J$9*D26+'Markowitz Model'!$K$9*E26</f>
        <v>-1.7587164129693102E-2</v>
      </c>
      <c r="H26" s="153">
        <v>0.01</v>
      </c>
      <c r="I26" s="153">
        <f t="shared" si="0"/>
        <v>1E-4</v>
      </c>
      <c r="J26" s="153">
        <f t="shared" si="1"/>
        <v>6.0405798728539713E-3</v>
      </c>
      <c r="K26" s="153">
        <f t="shared" si="2"/>
        <v>-1.7687164129693102E-2</v>
      </c>
    </row>
    <row r="27" spans="2:11" ht="16" x14ac:dyDescent="0.2">
      <c r="B27" s="3">
        <v>40391</v>
      </c>
      <c r="C27" s="151">
        <v>1.22089737376105E-2</v>
      </c>
      <c r="D27" s="152">
        <v>-3.4371733999161401E-2</v>
      </c>
      <c r="E27" s="153">
        <v>-8.1716154946596301E-2</v>
      </c>
      <c r="F27" s="153">
        <f>'Markowitz Model'!$I$4*C27+'Markowitz Model'!$J$4*D27+'Markowitz Model'!$K$4*E27</f>
        <v>-4.5548584735531222E-2</v>
      </c>
      <c r="G27" s="153">
        <f>'Markowitz Model'!$I$9*C27+'Markowitz Model'!$J$9*D27+'Markowitz Model'!$K$9*E27</f>
        <v>-3.4371733999161408E-2</v>
      </c>
      <c r="H27" s="153">
        <v>0.01</v>
      </c>
      <c r="I27" s="153">
        <f t="shared" si="0"/>
        <v>1E-4</v>
      </c>
      <c r="J27" s="153">
        <f t="shared" si="1"/>
        <v>-4.5648584735531225E-2</v>
      </c>
      <c r="K27" s="153">
        <f t="shared" si="2"/>
        <v>-3.4471733999161411E-2</v>
      </c>
    </row>
    <row r="28" spans="2:11" ht="16" x14ac:dyDescent="0.2">
      <c r="B28" s="3">
        <v>40422</v>
      </c>
      <c r="C28" s="151">
        <v>-1.6358919617866799E-2</v>
      </c>
      <c r="D28" s="152">
        <v>0.23730061041109601</v>
      </c>
      <c r="E28" s="153">
        <v>0.110817948766429</v>
      </c>
      <c r="F28" s="153">
        <f>'Markowitz Model'!$I$4*C28+'Markowitz Model'!$J$4*D28+'Markowitz Model'!$K$4*E28</f>
        <v>0.20744117181936056</v>
      </c>
      <c r="G28" s="153">
        <f>'Markowitz Model'!$I$9*C28+'Markowitz Model'!$J$9*D28+'Markowitz Model'!$K$9*E28</f>
        <v>0.23730061041109607</v>
      </c>
      <c r="H28" s="153">
        <v>0.01</v>
      </c>
      <c r="I28" s="153">
        <f t="shared" si="0"/>
        <v>1E-4</v>
      </c>
      <c r="J28" s="153">
        <f t="shared" si="1"/>
        <v>0.20734117181936057</v>
      </c>
      <c r="K28" s="153">
        <f t="shared" si="2"/>
        <v>0.23720061041109608</v>
      </c>
    </row>
    <row r="29" spans="2:11" ht="16" x14ac:dyDescent="0.2">
      <c r="B29" s="3">
        <v>40452</v>
      </c>
      <c r="C29" s="151">
        <v>-1.67907519603482E-2</v>
      </c>
      <c r="D29" s="152">
        <v>4.2852752561702602E-2</v>
      </c>
      <c r="E29" s="153">
        <v>-2.8716453665433701E-2</v>
      </c>
      <c r="F29" s="153">
        <f>'Markowitz Model'!$I$4*C29+'Markowitz Model'!$J$4*D29+'Markowitz Model'!$K$4*E29</f>
        <v>2.5957027166533107E-2</v>
      </c>
      <c r="G29" s="153">
        <f>'Markowitz Model'!$I$9*C29+'Markowitz Model'!$J$9*D29+'Markowitz Model'!$K$9*E29</f>
        <v>4.2852752561702609E-2</v>
      </c>
      <c r="H29" s="153">
        <v>0.01</v>
      </c>
      <c r="I29" s="153">
        <f t="shared" si="0"/>
        <v>1E-4</v>
      </c>
      <c r="J29" s="153">
        <f t="shared" si="1"/>
        <v>2.5857027166533108E-2</v>
      </c>
      <c r="K29" s="153">
        <f t="shared" si="2"/>
        <v>4.2752752561702606E-2</v>
      </c>
    </row>
    <row r="30" spans="2:11" ht="16" x14ac:dyDescent="0.2">
      <c r="B30" s="3">
        <v>40483</v>
      </c>
      <c r="C30" s="151">
        <v>1.20834500973541E-2</v>
      </c>
      <c r="D30" s="152">
        <v>6.3220425445304996E-3</v>
      </c>
      <c r="E30" s="153">
        <v>-2.8498104500344098E-3</v>
      </c>
      <c r="F30" s="153">
        <f>'Markowitz Model'!$I$4*C30+'Markowitz Model'!$J$4*D30+'Markowitz Model'!$K$4*E30</f>
        <v>4.1567941405000683E-3</v>
      </c>
      <c r="G30" s="153">
        <f>'Markowitz Model'!$I$9*C30+'Markowitz Model'!$J$9*D30+'Markowitz Model'!$K$9*E30</f>
        <v>6.3220425445305014E-3</v>
      </c>
      <c r="H30" s="153">
        <v>0.01</v>
      </c>
      <c r="I30" s="153">
        <f t="shared" si="0"/>
        <v>1E-4</v>
      </c>
      <c r="J30" s="153">
        <f t="shared" si="1"/>
        <v>4.056794140500068E-3</v>
      </c>
      <c r="K30" s="153">
        <f t="shared" si="2"/>
        <v>6.2220425445305011E-3</v>
      </c>
    </row>
    <row r="31" spans="2:11" ht="16" x14ac:dyDescent="0.2">
      <c r="B31" s="3">
        <v>40513</v>
      </c>
      <c r="C31" s="151">
        <v>1.7988998771432601E-2</v>
      </c>
      <c r="D31" s="152">
        <v>0.18303827843458201</v>
      </c>
      <c r="E31" s="153">
        <v>3.4070078838307302E-2</v>
      </c>
      <c r="F31" s="153">
        <f>'Markowitz Model'!$I$4*C31+'Markowitz Model'!$J$4*D31+'Markowitz Model'!$K$4*E31</f>
        <v>0.14787055860541989</v>
      </c>
      <c r="G31" s="153">
        <f>'Markowitz Model'!$I$9*C31+'Markowitz Model'!$J$9*D31+'Markowitz Model'!$K$9*E31</f>
        <v>0.18303827843458204</v>
      </c>
      <c r="H31" s="153">
        <v>0.01</v>
      </c>
      <c r="I31" s="153">
        <f t="shared" si="0"/>
        <v>1E-4</v>
      </c>
      <c r="J31" s="153">
        <f t="shared" si="1"/>
        <v>0.1477705586054199</v>
      </c>
      <c r="K31" s="153">
        <f t="shared" si="2"/>
        <v>0.18293827843458205</v>
      </c>
    </row>
    <row r="32" spans="2:11" ht="16" x14ac:dyDescent="0.2">
      <c r="B32" s="3">
        <v>40544</v>
      </c>
      <c r="C32" s="151">
        <v>-3.4290519520026298E-2</v>
      </c>
      <c r="D32" s="152">
        <v>9.6545817899349497E-3</v>
      </c>
      <c r="E32" s="153">
        <v>1.8771935017010799E-2</v>
      </c>
      <c r="F32" s="153">
        <f>'Markowitz Model'!$I$4*C32+'Markowitz Model'!$J$4*D32+'Markowitz Model'!$K$4*E32</f>
        <v>1.1806964142291243E-2</v>
      </c>
      <c r="G32" s="153">
        <f>'Markowitz Model'!$I$9*C32+'Markowitz Model'!$J$9*D32+'Markowitz Model'!$K$9*E32</f>
        <v>9.6545817899349514E-3</v>
      </c>
      <c r="H32" s="153">
        <v>0.01</v>
      </c>
      <c r="I32" s="153">
        <f t="shared" si="0"/>
        <v>1E-4</v>
      </c>
      <c r="J32" s="153">
        <f t="shared" si="1"/>
        <v>1.1706964142291243E-2</v>
      </c>
      <c r="K32" s="153">
        <f t="shared" si="2"/>
        <v>9.554581789934952E-3</v>
      </c>
    </row>
    <row r="33" spans="2:11" ht="16" x14ac:dyDescent="0.2">
      <c r="B33" s="3">
        <v>40575</v>
      </c>
      <c r="C33" s="151">
        <v>2.2873503233691301E-3</v>
      </c>
      <c r="D33" s="152">
        <v>5.9767546497049304E-3</v>
      </c>
      <c r="E33" s="153">
        <v>4.9021860072651698E-2</v>
      </c>
      <c r="F33" s="153">
        <f>'Markowitz Model'!$I$4*C33+'Markowitz Model'!$J$4*D33+'Markowitz Model'!$K$4*E33</f>
        <v>1.6138642969719223E-2</v>
      </c>
      <c r="G33" s="153">
        <f>'Markowitz Model'!$I$9*C33+'Markowitz Model'!$J$9*D33+'Markowitz Model'!$K$9*E33</f>
        <v>5.9767546497049321E-3</v>
      </c>
      <c r="H33" s="153">
        <v>0.01</v>
      </c>
      <c r="I33" s="153">
        <f t="shared" si="0"/>
        <v>1E-4</v>
      </c>
      <c r="J33" s="153">
        <f t="shared" si="1"/>
        <v>1.6038642969719224E-2</v>
      </c>
      <c r="K33" s="153">
        <f t="shared" si="2"/>
        <v>5.8767546497049319E-3</v>
      </c>
    </row>
    <row r="34" spans="2:11" ht="16" x14ac:dyDescent="0.2">
      <c r="B34" s="3">
        <v>40603</v>
      </c>
      <c r="C34" s="151">
        <v>9.3638755268388198E-3</v>
      </c>
      <c r="D34" s="152">
        <v>6.4163466301989394E-2</v>
      </c>
      <c r="E34" s="153">
        <v>1.9867067270266499E-2</v>
      </c>
      <c r="F34" s="153">
        <f>'Markowitz Model'!$I$4*C34+'Markowitz Model'!$J$4*D34+'Markowitz Model'!$K$4*E34</f>
        <v>5.3706178405577475E-2</v>
      </c>
      <c r="G34" s="153">
        <f>'Markowitz Model'!$I$9*C34+'Markowitz Model'!$J$9*D34+'Markowitz Model'!$K$9*E34</f>
        <v>6.4163466301989408E-2</v>
      </c>
      <c r="H34" s="153">
        <v>0.01</v>
      </c>
      <c r="I34" s="153">
        <f t="shared" si="0"/>
        <v>1E-4</v>
      </c>
      <c r="J34" s="153">
        <f t="shared" si="1"/>
        <v>5.3606178405577472E-2</v>
      </c>
      <c r="K34" s="153">
        <f t="shared" si="2"/>
        <v>6.4063466301989405E-2</v>
      </c>
    </row>
    <row r="35" spans="2:11" ht="16" x14ac:dyDescent="0.2">
      <c r="B35" s="3">
        <v>40634</v>
      </c>
      <c r="C35" s="151">
        <v>1.4014243690939799E-2</v>
      </c>
      <c r="D35" s="152">
        <v>0.114560306307711</v>
      </c>
      <c r="E35" s="153">
        <v>3.9678983432322998E-2</v>
      </c>
      <c r="F35" s="153">
        <f>'Markowitz Model'!$I$4*C35+'Markowitz Model'!$J$4*D35+'Markowitz Model'!$K$4*E35</f>
        <v>9.6882671816218319E-2</v>
      </c>
      <c r="G35" s="153">
        <f>'Markowitz Model'!$I$9*C35+'Markowitz Model'!$J$9*D35+'Markowitz Model'!$K$9*E35</f>
        <v>0.11456030630771102</v>
      </c>
      <c r="H35" s="153">
        <v>0</v>
      </c>
      <c r="I35" s="153">
        <f t="shared" si="0"/>
        <v>0</v>
      </c>
      <c r="J35" s="153">
        <f t="shared" si="1"/>
        <v>9.6882671816218319E-2</v>
      </c>
      <c r="K35" s="153">
        <f t="shared" si="2"/>
        <v>0.11456030630771102</v>
      </c>
    </row>
    <row r="36" spans="2:11" ht="16" x14ac:dyDescent="0.2">
      <c r="B36" s="3">
        <v>40664</v>
      </c>
      <c r="C36" s="151">
        <v>3.8594936295970501E-2</v>
      </c>
      <c r="D36" s="152">
        <v>-8.0169773265426102E-4</v>
      </c>
      <c r="E36" s="153">
        <v>-2.91122513688995E-2</v>
      </c>
      <c r="F36" s="153">
        <f>'Markowitz Model'!$I$4*C36+'Markowitz Model'!$J$4*D36+'Markowitz Model'!$K$4*E36</f>
        <v>-7.4851215854376627E-3</v>
      </c>
      <c r="G36" s="153">
        <f>'Markowitz Model'!$I$9*C36+'Markowitz Model'!$J$9*D36+'Markowitz Model'!$K$9*E36</f>
        <v>-8.0169773265426124E-4</v>
      </c>
      <c r="H36" s="153">
        <v>0</v>
      </c>
      <c r="I36" s="153">
        <f t="shared" si="0"/>
        <v>0</v>
      </c>
      <c r="J36" s="153">
        <f t="shared" si="1"/>
        <v>-7.4851215854376627E-3</v>
      </c>
      <c r="K36" s="153">
        <f t="shared" si="2"/>
        <v>-8.0169773265426124E-4</v>
      </c>
    </row>
    <row r="37" spans="2:11" ht="16" x14ac:dyDescent="0.2">
      <c r="B37" s="3">
        <v>40695</v>
      </c>
      <c r="C37" s="151">
        <v>3.24582128432052E-2</v>
      </c>
      <c r="D37" s="152">
        <v>2.4864565843685502E-2</v>
      </c>
      <c r="E37" s="153">
        <v>1.0903478553046001E-2</v>
      </c>
      <c r="F37" s="153">
        <f>'Markowitz Model'!$I$4*C37+'Markowitz Model'!$J$4*D37+'Markowitz Model'!$K$4*E37</f>
        <v>2.1568697277922398E-2</v>
      </c>
      <c r="G37" s="153">
        <f>'Markowitz Model'!$I$9*C37+'Markowitz Model'!$J$9*D37+'Markowitz Model'!$K$9*E37</f>
        <v>2.4864565843685509E-2</v>
      </c>
      <c r="H37" s="153">
        <v>0</v>
      </c>
      <c r="I37" s="153">
        <f t="shared" si="0"/>
        <v>0</v>
      </c>
      <c r="J37" s="153">
        <f t="shared" si="1"/>
        <v>2.1568697277922398E-2</v>
      </c>
      <c r="K37" s="153">
        <f t="shared" si="2"/>
        <v>2.4864565843685509E-2</v>
      </c>
    </row>
    <row r="38" spans="2:11" ht="16" x14ac:dyDescent="0.2">
      <c r="B38" s="3">
        <v>40725</v>
      </c>
      <c r="C38" s="151">
        <v>-2.5290467442294001E-2</v>
      </c>
      <c r="D38" s="152">
        <v>-0.17511246342824599</v>
      </c>
      <c r="E38" s="153">
        <v>-8.1286111440748501E-2</v>
      </c>
      <c r="F38" s="153">
        <f>'Markowitz Model'!$I$4*C38+'Markowitz Model'!$J$4*D38+'Markowitz Model'!$K$4*E38</f>
        <v>-0.15296237456209061</v>
      </c>
      <c r="G38" s="153">
        <f>'Markowitz Model'!$I$9*C38+'Markowitz Model'!$J$9*D38+'Markowitz Model'!$K$9*E38</f>
        <v>-0.17511246342824602</v>
      </c>
      <c r="H38" s="153">
        <v>0</v>
      </c>
      <c r="I38" s="153">
        <f t="shared" si="0"/>
        <v>0</v>
      </c>
      <c r="J38" s="153">
        <f t="shared" si="1"/>
        <v>-0.15296237456209061</v>
      </c>
      <c r="K38" s="153">
        <f t="shared" si="2"/>
        <v>-0.17511246342824602</v>
      </c>
    </row>
    <row r="39" spans="2:11" ht="16" x14ac:dyDescent="0.2">
      <c r="B39" s="3">
        <v>40756</v>
      </c>
      <c r="C39" s="151">
        <v>1.8903346132113301E-2</v>
      </c>
      <c r="D39" s="152">
        <v>-0.12547421411370499</v>
      </c>
      <c r="E39" s="153">
        <v>-4.7739260810346303E-2</v>
      </c>
      <c r="F39" s="153">
        <f>'Markowitz Model'!$I$4*C39+'Markowitz Model'!$J$4*D39+'Markowitz Model'!$K$4*E39</f>
        <v>-0.10712290782072163</v>
      </c>
      <c r="G39" s="153">
        <f>'Markowitz Model'!$I$9*C39+'Markowitz Model'!$J$9*D39+'Markowitz Model'!$K$9*E39</f>
        <v>-0.12547421411370502</v>
      </c>
      <c r="H39" s="153">
        <v>0.01</v>
      </c>
      <c r="I39" s="153">
        <f t="shared" si="0"/>
        <v>1E-4</v>
      </c>
      <c r="J39" s="153">
        <f t="shared" si="1"/>
        <v>-0.10722290782072164</v>
      </c>
      <c r="K39" s="153">
        <f t="shared" si="2"/>
        <v>-0.12557421411370501</v>
      </c>
    </row>
    <row r="40" spans="2:11" ht="16" x14ac:dyDescent="0.2">
      <c r="B40" s="3">
        <v>40787</v>
      </c>
      <c r="C40" s="151">
        <v>-1.9117655560289701E-2</v>
      </c>
      <c r="D40" s="152">
        <v>-0.15242755329955299</v>
      </c>
      <c r="E40" s="153">
        <v>-0.129019219112676</v>
      </c>
      <c r="F40" s="153">
        <f>'Markowitz Model'!$I$4*C40+'Markowitz Model'!$J$4*D40+'Markowitz Model'!$K$4*E40</f>
        <v>-0.14690142261808861</v>
      </c>
      <c r="G40" s="153">
        <f>'Markowitz Model'!$I$9*C40+'Markowitz Model'!$J$9*D40+'Markowitz Model'!$K$9*E40</f>
        <v>-0.15242755329955301</v>
      </c>
      <c r="H40" s="153">
        <v>0</v>
      </c>
      <c r="I40" s="153">
        <f t="shared" si="0"/>
        <v>0</v>
      </c>
      <c r="J40" s="153">
        <f t="shared" si="1"/>
        <v>-0.14690142261808861</v>
      </c>
      <c r="K40" s="153">
        <f t="shared" si="2"/>
        <v>-0.15242755329955301</v>
      </c>
    </row>
    <row r="41" spans="2:11" ht="16" x14ac:dyDescent="0.2">
      <c r="B41" s="3">
        <v>40817</v>
      </c>
      <c r="C41" s="151">
        <v>-2.01085820832635E-2</v>
      </c>
      <c r="D41" s="152">
        <v>0.186239688645399</v>
      </c>
      <c r="E41" s="153">
        <v>0.10071044635134201</v>
      </c>
      <c r="F41" s="153">
        <f>'Markowitz Model'!$I$4*C41+'Markowitz Model'!$J$4*D41+'Markowitz Model'!$K$4*E41</f>
        <v>0.16604834285247358</v>
      </c>
      <c r="G41" s="153">
        <f>'Markowitz Model'!$I$9*C41+'Markowitz Model'!$J$9*D41+'Markowitz Model'!$K$9*E41</f>
        <v>0.18623968864539903</v>
      </c>
      <c r="H41" s="153">
        <v>0</v>
      </c>
      <c r="I41" s="153">
        <f t="shared" si="0"/>
        <v>0</v>
      </c>
      <c r="J41" s="153">
        <f t="shared" si="1"/>
        <v>0.16604834285247358</v>
      </c>
      <c r="K41" s="153">
        <f t="shared" si="2"/>
        <v>0.18623968864539903</v>
      </c>
    </row>
    <row r="42" spans="2:11" ht="16" x14ac:dyDescent="0.2">
      <c r="B42" s="3">
        <v>40848</v>
      </c>
      <c r="C42" s="151">
        <v>2.9952046631208699E-2</v>
      </c>
      <c r="D42" s="152">
        <v>1.15999741893551E-2</v>
      </c>
      <c r="E42" s="153">
        <v>2.5563201049005699E-2</v>
      </c>
      <c r="F42" s="153">
        <f>'Markowitz Model'!$I$4*C42+'Markowitz Model'!$J$4*D42+'Markowitz Model'!$K$4*E42</f>
        <v>1.4896347854620937E-2</v>
      </c>
      <c r="G42" s="153">
        <f>'Markowitz Model'!$I$9*C42+'Markowitz Model'!$J$9*D42+'Markowitz Model'!$K$9*E42</f>
        <v>1.1599974189355102E-2</v>
      </c>
      <c r="H42" s="153">
        <v>0</v>
      </c>
      <c r="I42" s="153">
        <f t="shared" si="0"/>
        <v>0</v>
      </c>
      <c r="J42" s="153">
        <f t="shared" si="1"/>
        <v>1.4896347854620937E-2</v>
      </c>
      <c r="K42" s="153">
        <f t="shared" si="2"/>
        <v>1.1599974189355102E-2</v>
      </c>
    </row>
    <row r="43" spans="2:11" ht="16" x14ac:dyDescent="0.2">
      <c r="B43" s="3">
        <v>40878</v>
      </c>
      <c r="C43" s="151">
        <v>-1.42714179867776E-4</v>
      </c>
      <c r="D43" s="152">
        <v>-6.8533314338719301E-2</v>
      </c>
      <c r="E43" s="153">
        <v>1.5640025925021801E-2</v>
      </c>
      <c r="F43" s="153">
        <f>'Markowitz Model'!$I$4*C43+'Markowitz Model'!$J$4*D43+'Markowitz Model'!$K$4*E43</f>
        <v>-4.8662063591898792E-2</v>
      </c>
      <c r="G43" s="153">
        <f>'Markowitz Model'!$I$9*C43+'Markowitz Model'!$J$9*D43+'Markowitz Model'!$K$9*E43</f>
        <v>-6.8533314338719314E-2</v>
      </c>
      <c r="H43" s="153">
        <v>0</v>
      </c>
      <c r="I43" s="153">
        <f t="shared" si="0"/>
        <v>0</v>
      </c>
      <c r="J43" s="153">
        <f t="shared" si="1"/>
        <v>-4.8662063591898792E-2</v>
      </c>
      <c r="K43" s="153">
        <f t="shared" si="2"/>
        <v>-6.8533314338719314E-2</v>
      </c>
    </row>
    <row r="44" spans="2:11" ht="16" x14ac:dyDescent="0.2">
      <c r="B44" s="3">
        <v>40909</v>
      </c>
      <c r="C44" s="151">
        <v>3.5968286903618397E-2</v>
      </c>
      <c r="D44" s="152">
        <v>0.215860050924255</v>
      </c>
      <c r="E44" s="153">
        <v>6.0932730871266202E-2</v>
      </c>
      <c r="F44" s="153">
        <f>'Markowitz Model'!$I$4*C44+'Markowitz Model'!$J$4*D44+'Markowitz Model'!$K$4*E44</f>
        <v>0.17928552964875796</v>
      </c>
      <c r="G44" s="153">
        <f>'Markowitz Model'!$I$9*C44+'Markowitz Model'!$J$9*D44+'Markowitz Model'!$K$9*E44</f>
        <v>0.21586005092425506</v>
      </c>
      <c r="H44" s="153">
        <v>0</v>
      </c>
      <c r="I44" s="153">
        <f t="shared" si="0"/>
        <v>0</v>
      </c>
      <c r="J44" s="153">
        <f t="shared" si="1"/>
        <v>0.17928552964875796</v>
      </c>
      <c r="K44" s="153">
        <f t="shared" si="2"/>
        <v>0.21586005092425506</v>
      </c>
    </row>
    <row r="45" spans="2:11" ht="16" x14ac:dyDescent="0.2">
      <c r="B45" s="3">
        <v>40940</v>
      </c>
      <c r="C45" s="151">
        <v>-1.12221045986001E-2</v>
      </c>
      <c r="D45" s="152">
        <v>2.7078157956533799E-2</v>
      </c>
      <c r="E45" s="153">
        <v>1.02637647604953E-2</v>
      </c>
      <c r="F45" s="153">
        <f>'Markowitz Model'!$I$4*C45+'Markowitz Model'!$J$4*D45+'Markowitz Model'!$K$4*E45</f>
        <v>2.3108694201059647E-2</v>
      </c>
      <c r="G45" s="153">
        <f>'Markowitz Model'!$I$9*C45+'Markowitz Model'!$J$9*D45+'Markowitz Model'!$K$9*E45</f>
        <v>2.7078157956533806E-2</v>
      </c>
      <c r="H45" s="153">
        <v>0</v>
      </c>
      <c r="I45" s="153">
        <f t="shared" si="0"/>
        <v>0</v>
      </c>
      <c r="J45" s="153">
        <f t="shared" si="1"/>
        <v>2.3108694201059647E-2</v>
      </c>
      <c r="K45" s="153">
        <f t="shared" si="2"/>
        <v>2.7078157956533806E-2</v>
      </c>
    </row>
    <row r="46" spans="2:11" ht="16" x14ac:dyDescent="0.2">
      <c r="B46" s="3">
        <v>40969</v>
      </c>
      <c r="C46" s="151">
        <v>6.9490243167336097E-3</v>
      </c>
      <c r="D46" s="152">
        <v>2.04034466413976E-2</v>
      </c>
      <c r="E46" s="153">
        <v>2.5253999194692098E-2</v>
      </c>
      <c r="F46" s="153">
        <f>'Markowitz Model'!$I$4*C46+'Markowitz Model'!$J$4*D46+'Markowitz Model'!$K$4*E46</f>
        <v>2.1548542532152763E-2</v>
      </c>
      <c r="G46" s="153">
        <f>'Markowitz Model'!$I$9*C46+'Markowitz Model'!$J$9*D46+'Markowitz Model'!$K$9*E46</f>
        <v>2.0403446641397604E-2</v>
      </c>
      <c r="H46" s="153">
        <v>0</v>
      </c>
      <c r="I46" s="153">
        <f t="shared" si="0"/>
        <v>0</v>
      </c>
      <c r="J46" s="153">
        <f t="shared" si="1"/>
        <v>2.1548542532152763E-2</v>
      </c>
      <c r="K46" s="153">
        <f t="shared" si="2"/>
        <v>2.0403446641397604E-2</v>
      </c>
    </row>
    <row r="47" spans="2:11" ht="16" x14ac:dyDescent="0.2">
      <c r="B47" s="3">
        <v>41000</v>
      </c>
      <c r="C47" s="151">
        <v>-1.7740779932313499E-2</v>
      </c>
      <c r="D47" s="152">
        <v>-5.0211325219266599E-2</v>
      </c>
      <c r="E47" s="153">
        <v>1.6815895412072299E-3</v>
      </c>
      <c r="F47" s="153">
        <f>'Markowitz Model'!$I$4*C47+'Markowitz Model'!$J$4*D47+'Markowitz Model'!$K$4*E47</f>
        <v>-3.7960687214908431E-2</v>
      </c>
      <c r="G47" s="153">
        <f>'Markowitz Model'!$I$9*C47+'Markowitz Model'!$J$9*D47+'Markowitz Model'!$K$9*E47</f>
        <v>-5.0211325219266613E-2</v>
      </c>
      <c r="H47" s="153">
        <v>0</v>
      </c>
      <c r="I47" s="153">
        <f t="shared" si="0"/>
        <v>0</v>
      </c>
      <c r="J47" s="153">
        <f t="shared" si="1"/>
        <v>-3.7960687214908431E-2</v>
      </c>
      <c r="K47" s="153">
        <f t="shared" si="2"/>
        <v>-5.0211325219266613E-2</v>
      </c>
    </row>
    <row r="48" spans="2:11" ht="16" x14ac:dyDescent="0.2">
      <c r="B48" s="3">
        <v>41030</v>
      </c>
      <c r="C48" s="151">
        <v>3.5186096519093303E-2</v>
      </c>
      <c r="D48" s="152">
        <v>-3.60362867517234E-2</v>
      </c>
      <c r="E48" s="153">
        <v>-5.53944124677542E-2</v>
      </c>
      <c r="F48" s="153">
        <f>'Markowitz Model'!$I$4*C48+'Markowitz Model'!$J$4*D48+'Markowitz Model'!$K$4*E48</f>
        <v>-4.0606263051659139E-2</v>
      </c>
      <c r="G48" s="153">
        <f>'Markowitz Model'!$I$9*C48+'Markowitz Model'!$J$9*D48+'Markowitz Model'!$K$9*E48</f>
        <v>-3.6036286751723406E-2</v>
      </c>
      <c r="H48" s="153">
        <v>0.01</v>
      </c>
      <c r="I48" s="153">
        <f t="shared" si="0"/>
        <v>1E-4</v>
      </c>
      <c r="J48" s="153">
        <f t="shared" si="1"/>
        <v>-4.0706263051659142E-2</v>
      </c>
      <c r="K48" s="153">
        <f t="shared" si="2"/>
        <v>-3.6136286751723409E-2</v>
      </c>
    </row>
    <row r="49" spans="2:11" ht="16" x14ac:dyDescent="0.2">
      <c r="B49" s="3">
        <v>41061</v>
      </c>
      <c r="C49" s="151">
        <v>-9.5234931719645499E-4</v>
      </c>
      <c r="D49" s="152">
        <v>-3.4923769730337E-2</v>
      </c>
      <c r="E49" s="153">
        <v>6.8837695948399405E-2</v>
      </c>
      <c r="F49" s="153">
        <f>'Markowitz Model'!$I$4*C49+'Markowitz Model'!$J$4*D49+'Markowitz Model'!$K$4*E49</f>
        <v>-1.0428245424193208E-2</v>
      </c>
      <c r="G49" s="153">
        <f>'Markowitz Model'!$I$9*C49+'Markowitz Model'!$J$9*D49+'Markowitz Model'!$K$9*E49</f>
        <v>-3.4923769730337006E-2</v>
      </c>
      <c r="H49" s="153">
        <v>0</v>
      </c>
      <c r="I49" s="153">
        <f t="shared" si="0"/>
        <v>0</v>
      </c>
      <c r="J49" s="153">
        <f t="shared" si="1"/>
        <v>-1.0428245424193208E-2</v>
      </c>
      <c r="K49" s="153">
        <f t="shared" si="2"/>
        <v>-3.4923769730337006E-2</v>
      </c>
    </row>
    <row r="50" spans="2:11" ht="16" x14ac:dyDescent="0.2">
      <c r="B50" s="3">
        <v>41091</v>
      </c>
      <c r="C50" s="151">
        <v>2.5466771341108099E-2</v>
      </c>
      <c r="D50" s="152">
        <v>-2.1616452991453001E-2</v>
      </c>
      <c r="E50" s="153">
        <v>1.8191330123450901E-2</v>
      </c>
      <c r="F50" s="153">
        <f>'Markowitz Model'!$I$4*C50+'Markowitz Model'!$J$4*D50+'Markowitz Model'!$K$4*E50</f>
        <v>-1.2218816667733876E-2</v>
      </c>
      <c r="G50" s="153">
        <f>'Markowitz Model'!$I$9*C50+'Markowitz Model'!$J$9*D50+'Markowitz Model'!$K$9*E50</f>
        <v>-2.1616452991453004E-2</v>
      </c>
      <c r="H50" s="153">
        <v>0</v>
      </c>
      <c r="I50" s="153">
        <f t="shared" si="0"/>
        <v>0</v>
      </c>
      <c r="J50" s="153">
        <f t="shared" si="1"/>
        <v>-1.2218816667733876E-2</v>
      </c>
      <c r="K50" s="153">
        <f t="shared" si="2"/>
        <v>-2.1616452991453004E-2</v>
      </c>
    </row>
    <row r="51" spans="2:11" ht="16" x14ac:dyDescent="0.2">
      <c r="B51" s="3">
        <v>41122</v>
      </c>
      <c r="C51" s="151">
        <v>4.5315772835619002E-4</v>
      </c>
      <c r="D51" s="152">
        <v>-2.9511093667150899E-2</v>
      </c>
      <c r="E51" s="153">
        <v>1.5017138810262501E-2</v>
      </c>
      <c r="F51" s="153">
        <f>'Markowitz Model'!$I$4*C51+'Markowitz Model'!$J$4*D51+'Markowitz Model'!$K$4*E51</f>
        <v>-1.8999075608951629E-2</v>
      </c>
      <c r="G51" s="153">
        <f>'Markowitz Model'!$I$9*C51+'Markowitz Model'!$J$9*D51+'Markowitz Model'!$K$9*E51</f>
        <v>-2.9511093667150906E-2</v>
      </c>
      <c r="H51" s="153">
        <v>0.01</v>
      </c>
      <c r="I51" s="153">
        <f t="shared" si="0"/>
        <v>1E-4</v>
      </c>
      <c r="J51" s="153">
        <f t="shared" si="1"/>
        <v>-1.9099075608951629E-2</v>
      </c>
      <c r="K51" s="153">
        <f t="shared" si="2"/>
        <v>-2.9611093667150905E-2</v>
      </c>
    </row>
    <row r="52" spans="2:11" ht="16" x14ac:dyDescent="0.2">
      <c r="B52" s="3">
        <v>41153</v>
      </c>
      <c r="C52" s="151">
        <v>1.10958104088896E-2</v>
      </c>
      <c r="D52" s="152">
        <v>3.47145691693811E-2</v>
      </c>
      <c r="E52" s="153">
        <v>4.4138315904911404E-3</v>
      </c>
      <c r="F52" s="153">
        <f>'Markowitz Model'!$I$4*C52+'Markowitz Model'!$J$4*D52+'Markowitz Model'!$K$4*E52</f>
        <v>2.7561311946166234E-2</v>
      </c>
      <c r="G52" s="153">
        <f>'Markowitz Model'!$I$9*C52+'Markowitz Model'!$J$9*D52+'Markowitz Model'!$K$9*E52</f>
        <v>3.4714569169381107E-2</v>
      </c>
      <c r="H52" s="153">
        <v>0.01</v>
      </c>
      <c r="I52" s="153">
        <f t="shared" si="0"/>
        <v>1E-4</v>
      </c>
      <c r="J52" s="153">
        <f t="shared" si="1"/>
        <v>2.7461311946166234E-2</v>
      </c>
      <c r="K52" s="153">
        <f t="shared" si="2"/>
        <v>3.4614569169381104E-2</v>
      </c>
    </row>
    <row r="53" spans="2:11" ht="16" x14ac:dyDescent="0.2">
      <c r="B53" s="3">
        <v>41183</v>
      </c>
      <c r="C53" s="151">
        <v>1.2155652917844199E-2</v>
      </c>
      <c r="D53" s="152">
        <v>-6.1546726055193998E-2</v>
      </c>
      <c r="E53" s="153">
        <v>-5.2153205987360701E-2</v>
      </c>
      <c r="F53" s="153">
        <f>'Markowitz Model'!$I$4*C53+'Markowitz Model'!$J$4*D53+'Markowitz Model'!$K$4*E53</f>
        <v>-5.9329147519302024E-2</v>
      </c>
      <c r="G53" s="153">
        <f>'Markowitz Model'!$I$9*C53+'Markowitz Model'!$J$9*D53+'Markowitz Model'!$K$9*E53</f>
        <v>-6.1546726055194012E-2</v>
      </c>
      <c r="H53" s="153">
        <v>0.01</v>
      </c>
      <c r="I53" s="153">
        <f t="shared" si="0"/>
        <v>1E-4</v>
      </c>
      <c r="J53" s="153">
        <f t="shared" si="1"/>
        <v>-5.9429147519302027E-2</v>
      </c>
      <c r="K53" s="153">
        <f t="shared" si="2"/>
        <v>-6.1646726055194015E-2</v>
      </c>
    </row>
    <row r="54" spans="2:11" ht="16" x14ac:dyDescent="0.2">
      <c r="B54" s="3">
        <v>41214</v>
      </c>
      <c r="C54" s="151">
        <v>-3.09169165382032E-2</v>
      </c>
      <c r="D54" s="152">
        <v>6.3906685877703095E-2</v>
      </c>
      <c r="E54" s="153">
        <v>3.8242221806915402E-2</v>
      </c>
      <c r="F54" s="153">
        <f>'Markowitz Model'!$I$4*C54+'Markowitz Model'!$J$4*D54+'Markowitz Model'!$K$4*E54</f>
        <v>5.7847938544694257E-2</v>
      </c>
      <c r="G54" s="153">
        <f>'Markowitz Model'!$I$9*C54+'Markowitz Model'!$J$9*D54+'Markowitz Model'!$K$9*E54</f>
        <v>6.3906685877703109E-2</v>
      </c>
      <c r="H54" s="153">
        <v>0.01</v>
      </c>
      <c r="I54" s="153">
        <f t="shared" si="0"/>
        <v>1E-4</v>
      </c>
      <c r="J54" s="153">
        <f t="shared" si="1"/>
        <v>5.7747938544694254E-2</v>
      </c>
      <c r="K54" s="153">
        <f t="shared" si="2"/>
        <v>6.3806685877703107E-2</v>
      </c>
    </row>
    <row r="55" spans="2:11" ht="16" x14ac:dyDescent="0.2">
      <c r="B55" s="3">
        <v>41244</v>
      </c>
      <c r="C55" s="151">
        <v>8.6596504595970499E-5</v>
      </c>
      <c r="D55" s="152">
        <v>6.9208633753955306E-2</v>
      </c>
      <c r="E55" s="153">
        <v>2.7660015024161499E-2</v>
      </c>
      <c r="F55" s="153">
        <f>'Markowitz Model'!$I$4*C55+'Markowitz Model'!$J$4*D55+'Markowitz Model'!$K$4*E55</f>
        <v>5.940002905350214E-2</v>
      </c>
      <c r="G55" s="153">
        <f>'Markowitz Model'!$I$9*C55+'Markowitz Model'!$J$9*D55+'Markowitz Model'!$K$9*E55</f>
        <v>6.920863375395532E-2</v>
      </c>
      <c r="H55" s="153">
        <v>0.01</v>
      </c>
      <c r="I55" s="153">
        <f t="shared" si="0"/>
        <v>1E-4</v>
      </c>
      <c r="J55" s="153">
        <f t="shared" si="1"/>
        <v>5.9300029053502137E-2</v>
      </c>
      <c r="K55" s="153">
        <f t="shared" si="2"/>
        <v>6.9108633753955317E-2</v>
      </c>
    </row>
    <row r="56" spans="2:11" ht="16" x14ac:dyDescent="0.2">
      <c r="B56" s="3">
        <v>41275</v>
      </c>
      <c r="C56" s="151">
        <v>5.0858788034533501E-3</v>
      </c>
      <c r="D56" s="152">
        <v>9.6477557345842097E-2</v>
      </c>
      <c r="E56" s="153">
        <v>8.2929174597597702E-2</v>
      </c>
      <c r="F56" s="153">
        <f>'Markowitz Model'!$I$4*C56+'Markowitz Model'!$J$4*D56+'Markowitz Model'!$K$4*E56</f>
        <v>9.3279118149290088E-2</v>
      </c>
      <c r="G56" s="153">
        <f>'Markowitz Model'!$I$9*C56+'Markowitz Model'!$J$9*D56+'Markowitz Model'!$K$9*E56</f>
        <v>9.6477557345842124E-2</v>
      </c>
      <c r="H56" s="153">
        <v>0</v>
      </c>
      <c r="I56" s="153">
        <f t="shared" si="0"/>
        <v>0</v>
      </c>
      <c r="J56" s="153">
        <f t="shared" si="1"/>
        <v>9.3279118149290088E-2</v>
      </c>
      <c r="K56" s="153">
        <f t="shared" si="2"/>
        <v>9.6477557345842124E-2</v>
      </c>
    </row>
    <row r="57" spans="2:11" ht="16" x14ac:dyDescent="0.2">
      <c r="B57" s="3">
        <v>41306</v>
      </c>
      <c r="C57" s="151">
        <v>2.1274193115026398E-2</v>
      </c>
      <c r="D57" s="152">
        <v>-7.3693851388113102E-2</v>
      </c>
      <c r="E57" s="153">
        <v>3.4311147910100398E-2</v>
      </c>
      <c r="F57" s="153">
        <f>'Markowitz Model'!$I$4*C57+'Markowitz Model'!$J$4*D57+'Markowitz Model'!$K$4*E57</f>
        <v>-4.8196533398351941E-2</v>
      </c>
      <c r="G57" s="153">
        <f>'Markowitz Model'!$I$9*C57+'Markowitz Model'!$J$9*D57+'Markowitz Model'!$K$9*E57</f>
        <v>-7.3693851388113116E-2</v>
      </c>
      <c r="H57" s="153">
        <v>0</v>
      </c>
      <c r="I57" s="153">
        <f t="shared" si="0"/>
        <v>0</v>
      </c>
      <c r="J57" s="153">
        <f t="shared" si="1"/>
        <v>-4.8196533398351941E-2</v>
      </c>
      <c r="K57" s="153">
        <f t="shared" si="2"/>
        <v>-7.3693851388113116E-2</v>
      </c>
    </row>
    <row r="58" spans="2:11" ht="16" x14ac:dyDescent="0.2">
      <c r="B58" s="3">
        <v>41334</v>
      </c>
      <c r="C58" s="151">
        <v>2.45662979677823E-2</v>
      </c>
      <c r="D58" s="152">
        <v>1.18129476921489E-2</v>
      </c>
      <c r="E58" s="153">
        <v>2.8524237423671599E-2</v>
      </c>
      <c r="F58" s="153">
        <f>'Markowitz Model'!$I$4*C58+'Markowitz Model'!$J$4*D58+'Markowitz Model'!$K$4*E58</f>
        <v>1.5758071261171628E-2</v>
      </c>
      <c r="G58" s="153">
        <f>'Markowitz Model'!$I$9*C58+'Markowitz Model'!$J$9*D58+'Markowitz Model'!$K$9*E58</f>
        <v>1.1812947692148903E-2</v>
      </c>
      <c r="H58" s="153">
        <v>0</v>
      </c>
      <c r="I58" s="153">
        <f t="shared" si="0"/>
        <v>0</v>
      </c>
      <c r="J58" s="153">
        <f t="shared" si="1"/>
        <v>1.5758071261171628E-2</v>
      </c>
      <c r="K58" s="153">
        <f t="shared" si="2"/>
        <v>1.1812947692148903E-2</v>
      </c>
    </row>
    <row r="59" spans="2:11" ht="16" x14ac:dyDescent="0.2">
      <c r="B59" s="3">
        <v>41365</v>
      </c>
      <c r="C59" s="151">
        <v>3.15080035853956E-2</v>
      </c>
      <c r="D59" s="152">
        <v>-9.8050210747843095E-3</v>
      </c>
      <c r="E59" s="153">
        <v>-1.5050016264522801E-2</v>
      </c>
      <c r="F59" s="153">
        <f>'Markowitz Model'!$I$4*C59+'Markowitz Model'!$J$4*D59+'Markowitz Model'!$K$4*E59</f>
        <v>-1.1043235148915066E-2</v>
      </c>
      <c r="G59" s="153">
        <f>'Markowitz Model'!$I$9*C59+'Markowitz Model'!$J$9*D59+'Markowitz Model'!$K$9*E59</f>
        <v>-9.8050210747843113E-3</v>
      </c>
      <c r="H59" s="153">
        <v>0</v>
      </c>
      <c r="I59" s="153">
        <f t="shared" si="0"/>
        <v>0</v>
      </c>
      <c r="J59" s="153">
        <f t="shared" si="1"/>
        <v>-1.1043235148915066E-2</v>
      </c>
      <c r="K59" s="153">
        <f t="shared" si="2"/>
        <v>-9.8050210747843113E-3</v>
      </c>
    </row>
    <row r="60" spans="2:11" ht="16" x14ac:dyDescent="0.2">
      <c r="B60" s="3">
        <v>41395</v>
      </c>
      <c r="C60" s="151">
        <v>1.6466656343095999E-2</v>
      </c>
      <c r="D60" s="152">
        <v>9.6766351325822994E-2</v>
      </c>
      <c r="E60" s="153">
        <v>5.30984613800045E-2</v>
      </c>
      <c r="F60" s="153">
        <f>'Markowitz Model'!$I$4*C60+'Markowitz Model'!$J$4*D60+'Markowitz Model'!$K$4*E60</f>
        <v>8.6457438931720115E-2</v>
      </c>
      <c r="G60" s="153">
        <f>'Markowitz Model'!$I$9*C60+'Markowitz Model'!$J$9*D60+'Markowitz Model'!$K$9*E60</f>
        <v>9.6766351325823022E-2</v>
      </c>
      <c r="H60" s="153">
        <v>0</v>
      </c>
      <c r="I60" s="153">
        <f t="shared" si="0"/>
        <v>0</v>
      </c>
      <c r="J60" s="153">
        <f t="shared" si="1"/>
        <v>8.6457438931720115E-2</v>
      </c>
      <c r="K60" s="153">
        <f t="shared" si="2"/>
        <v>9.6766351325823022E-2</v>
      </c>
    </row>
    <row r="61" spans="2:11" ht="16" x14ac:dyDescent="0.2">
      <c r="B61" s="3">
        <v>41426</v>
      </c>
      <c r="C61" s="151">
        <v>1.26157828146705E-2</v>
      </c>
      <c r="D61" s="152">
        <v>-5.9186008213926201E-2</v>
      </c>
      <c r="E61" s="153">
        <v>-2.6892378462839402E-3</v>
      </c>
      <c r="F61" s="153">
        <f>'Markowitz Model'!$I$4*C61+'Markowitz Model'!$J$4*D61+'Markowitz Model'!$K$4*E61</f>
        <v>-4.5848513386664839E-2</v>
      </c>
      <c r="G61" s="153">
        <f>'Markowitz Model'!$I$9*C61+'Markowitz Model'!$J$9*D61+'Markowitz Model'!$K$9*E61</f>
        <v>-5.9186008213926215E-2</v>
      </c>
      <c r="H61" s="153">
        <v>0</v>
      </c>
      <c r="I61" s="153">
        <f t="shared" si="0"/>
        <v>0</v>
      </c>
      <c r="J61" s="153">
        <f t="shared" si="1"/>
        <v>-4.5848513386664839E-2</v>
      </c>
      <c r="K61" s="153">
        <f t="shared" si="2"/>
        <v>-5.9186008213926215E-2</v>
      </c>
    </row>
    <row r="62" spans="2:11" ht="16" x14ac:dyDescent="0.2">
      <c r="B62" s="3">
        <v>41456</v>
      </c>
      <c r="C62" s="151">
        <v>1.4059043023178E-2</v>
      </c>
      <c r="D62" s="152">
        <v>4.89928476117776E-2</v>
      </c>
      <c r="E62" s="153">
        <v>7.3891687891621996E-2</v>
      </c>
      <c r="F62" s="153">
        <f>'Markowitz Model'!$I$4*C62+'Markowitz Model'!$J$4*D62+'Markowitz Model'!$K$4*E62</f>
        <v>5.4870850040522307E-2</v>
      </c>
      <c r="G62" s="153">
        <f>'Markowitz Model'!$I$9*C62+'Markowitz Model'!$J$9*D62+'Markowitz Model'!$K$9*E62</f>
        <v>4.8992847611777614E-2</v>
      </c>
      <c r="H62" s="153">
        <v>0</v>
      </c>
      <c r="I62" s="153">
        <f t="shared" si="0"/>
        <v>0</v>
      </c>
      <c r="J62" s="153">
        <f t="shared" si="1"/>
        <v>5.4870850040522307E-2</v>
      </c>
      <c r="K62" s="153">
        <f t="shared" si="2"/>
        <v>4.8992847611777614E-2</v>
      </c>
    </row>
    <row r="63" spans="2:11" ht="16" x14ac:dyDescent="0.2">
      <c r="B63" s="3">
        <v>41487</v>
      </c>
      <c r="C63" s="151">
        <v>-2.1846175991944401E-2</v>
      </c>
      <c r="D63" s="152">
        <v>4.27011522460796E-2</v>
      </c>
      <c r="E63" s="153">
        <v>-3.2786199490392201E-2</v>
      </c>
      <c r="F63" s="153">
        <f>'Markowitz Model'!$I$4*C63+'Markowitz Model'!$J$4*D63+'Markowitz Model'!$K$4*E63</f>
        <v>2.4880449279216028E-2</v>
      </c>
      <c r="G63" s="153">
        <f>'Markowitz Model'!$I$9*C63+'Markowitz Model'!$J$9*D63+'Markowitz Model'!$K$9*E63</f>
        <v>4.2701152246079607E-2</v>
      </c>
      <c r="H63" s="153">
        <v>0</v>
      </c>
      <c r="I63" s="153">
        <f t="shared" si="0"/>
        <v>0</v>
      </c>
      <c r="J63" s="153">
        <f t="shared" si="1"/>
        <v>2.4880449279216028E-2</v>
      </c>
      <c r="K63" s="153">
        <f t="shared" si="2"/>
        <v>4.2701152246079607E-2</v>
      </c>
    </row>
    <row r="64" spans="2:11" ht="16" x14ac:dyDescent="0.2">
      <c r="B64" s="3">
        <v>41518</v>
      </c>
      <c r="C64" s="151">
        <v>9.9799829392064297E-3</v>
      </c>
      <c r="D64" s="152">
        <v>9.8841774817162803E-2</v>
      </c>
      <c r="E64" s="153">
        <v>5.71460679043303E-2</v>
      </c>
      <c r="F64" s="153">
        <f>'Markowitz Model'!$I$4*C64+'Markowitz Model'!$J$4*D64+'Markowitz Model'!$K$4*E64</f>
        <v>8.8998446222446945E-2</v>
      </c>
      <c r="G64" s="153">
        <f>'Markowitz Model'!$I$9*C64+'Markowitz Model'!$J$9*D64+'Markowitz Model'!$K$9*E64</f>
        <v>9.8841774817162831E-2</v>
      </c>
      <c r="H64" s="153">
        <v>0</v>
      </c>
      <c r="I64" s="153">
        <f t="shared" si="0"/>
        <v>0</v>
      </c>
      <c r="J64" s="153">
        <f t="shared" si="1"/>
        <v>8.8998446222446945E-2</v>
      </c>
      <c r="K64" s="153">
        <f t="shared" si="2"/>
        <v>9.8841774817162831E-2</v>
      </c>
    </row>
    <row r="65" spans="2:11" ht="16" x14ac:dyDescent="0.2">
      <c r="B65" s="3">
        <v>41548</v>
      </c>
      <c r="C65" s="151">
        <v>4.3290690426759801E-2</v>
      </c>
      <c r="D65" s="152">
        <v>-7.2737470313471997E-3</v>
      </c>
      <c r="E65" s="153">
        <v>5.3931734497386002E-2</v>
      </c>
      <c r="F65" s="153">
        <f>'Markowitz Model'!$I$4*C65+'Markowitz Model'!$J$4*D65+'Markowitz Model'!$K$4*E65</f>
        <v>7.1753584303883844E-3</v>
      </c>
      <c r="G65" s="153">
        <f>'Markowitz Model'!$I$9*C65+'Markowitz Model'!$J$9*D65+'Markowitz Model'!$K$9*E65</f>
        <v>-7.2737470313472014E-3</v>
      </c>
      <c r="H65" s="153">
        <v>0</v>
      </c>
      <c r="I65" s="153">
        <f t="shared" si="0"/>
        <v>0</v>
      </c>
      <c r="J65" s="153">
        <f t="shared" si="1"/>
        <v>7.1753584303883844E-3</v>
      </c>
      <c r="K65" s="153">
        <f t="shared" si="2"/>
        <v>-7.2737470313472014E-3</v>
      </c>
    </row>
    <row r="66" spans="2:11" ht="16" x14ac:dyDescent="0.2">
      <c r="B66" s="3">
        <v>41579</v>
      </c>
      <c r="C66" s="151">
        <v>3.2549228707361703E-2</v>
      </c>
      <c r="D66" s="152">
        <v>5.5358544181320503E-2</v>
      </c>
      <c r="E66" s="153">
        <v>6.0866066188113702E-2</v>
      </c>
      <c r="F66" s="153">
        <f>'Markowitz Model'!$I$4*C66+'Markowitz Model'!$J$4*D66+'Markowitz Model'!$K$4*E66</f>
        <v>5.6658734365620037E-2</v>
      </c>
      <c r="G66" s="153">
        <f>'Markowitz Model'!$I$9*C66+'Markowitz Model'!$J$9*D66+'Markowitz Model'!$K$9*E66</f>
        <v>5.5358544181320517E-2</v>
      </c>
      <c r="H66" s="153">
        <v>0</v>
      </c>
      <c r="I66" s="153">
        <f t="shared" si="0"/>
        <v>0</v>
      </c>
      <c r="J66" s="153">
        <f t="shared" si="1"/>
        <v>5.6658734365620037E-2</v>
      </c>
      <c r="K66" s="153">
        <f t="shared" si="2"/>
        <v>5.5358544181320517E-2</v>
      </c>
    </row>
    <row r="67" spans="2:11" ht="16" x14ac:dyDescent="0.2">
      <c r="B67" s="3">
        <v>41609</v>
      </c>
      <c r="C67" s="151">
        <v>-1.7816322547885E-2</v>
      </c>
      <c r="D67" s="152">
        <v>6.7575029466319797E-2</v>
      </c>
      <c r="E67" s="153">
        <v>5.5637489890118401E-2</v>
      </c>
      <c r="F67" s="153">
        <f>'Markowitz Model'!$I$4*C67+'Markowitz Model'!$J$4*D67+'Markowitz Model'!$K$4*E67</f>
        <v>6.4756870635085048E-2</v>
      </c>
      <c r="G67" s="153">
        <f>'Markowitz Model'!$I$9*C67+'Markowitz Model'!$J$9*D67+'Markowitz Model'!$K$9*E67</f>
        <v>6.7575029466319811E-2</v>
      </c>
      <c r="H67" s="153">
        <v>0</v>
      </c>
      <c r="I67" s="153">
        <f t="shared" si="0"/>
        <v>0</v>
      </c>
      <c r="J67" s="153">
        <f t="shared" si="1"/>
        <v>6.4756870635085048E-2</v>
      </c>
      <c r="K67" s="153">
        <f t="shared" si="2"/>
        <v>6.7575029466319811E-2</v>
      </c>
    </row>
    <row r="68" spans="2:11" ht="16" x14ac:dyDescent="0.2">
      <c r="B68" s="3">
        <v>41640</v>
      </c>
      <c r="C68" s="151">
        <v>-3.1981878361988299E-2</v>
      </c>
      <c r="D68" s="152">
        <v>1.9127360751852999E-2</v>
      </c>
      <c r="E68" s="153">
        <v>-8.5989168214855999E-2</v>
      </c>
      <c r="F68" s="153">
        <f>'Markowitz Model'!$I$4*C68+'Markowitz Model'!$J$4*D68+'Markowitz Model'!$K$4*E68</f>
        <v>-5.6880605940036657E-3</v>
      </c>
      <c r="G68" s="153">
        <f>'Markowitz Model'!$I$9*C68+'Markowitz Model'!$J$9*D68+'Markowitz Model'!$K$9*E68</f>
        <v>1.9127360751853003E-2</v>
      </c>
      <c r="H68" s="153">
        <v>0</v>
      </c>
      <c r="I68" s="153">
        <f t="shared" ref="I68:I131" si="3">H68/100</f>
        <v>0</v>
      </c>
      <c r="J68" s="153">
        <f t="shared" ref="J68:J131" si="4">F68-I68</f>
        <v>-5.6880605940036657E-3</v>
      </c>
      <c r="K68" s="153">
        <f t="shared" ref="K68:K131" si="5">G68-I68</f>
        <v>1.9127360751853003E-2</v>
      </c>
    </row>
    <row r="69" spans="2:11" ht="16" x14ac:dyDescent="0.2">
      <c r="B69" s="3">
        <v>41671</v>
      </c>
      <c r="C69" s="151">
        <v>1.28635720188579E-2</v>
      </c>
      <c r="D69" s="152">
        <v>-2.09802412693352E-2</v>
      </c>
      <c r="E69" s="153">
        <v>5.1017807222773597E-2</v>
      </c>
      <c r="F69" s="153">
        <f>'Markowitz Model'!$I$4*C69+'Markowitz Model'!$J$4*D69+'Markowitz Model'!$K$4*E69</f>
        <v>-3.9832767864521543E-3</v>
      </c>
      <c r="G69" s="153">
        <f>'Markowitz Model'!$I$9*C69+'Markowitz Model'!$J$9*D69+'Markowitz Model'!$K$9*E69</f>
        <v>-2.0980241269335204E-2</v>
      </c>
      <c r="H69" s="153">
        <v>0</v>
      </c>
      <c r="I69" s="153">
        <f t="shared" si="3"/>
        <v>0</v>
      </c>
      <c r="J69" s="153">
        <f t="shared" si="4"/>
        <v>-3.9832767864521543E-3</v>
      </c>
      <c r="K69" s="153">
        <f t="shared" si="5"/>
        <v>-2.0980241269335204E-2</v>
      </c>
    </row>
    <row r="70" spans="2:11" ht="16" x14ac:dyDescent="0.2">
      <c r="B70" s="3">
        <v>41699</v>
      </c>
      <c r="C70" s="151">
        <v>3.5794008178600803E-2</v>
      </c>
      <c r="D70" s="152">
        <v>-1.7740926367845099E-2</v>
      </c>
      <c r="E70" s="153">
        <v>1.3518975661309E-2</v>
      </c>
      <c r="F70" s="153">
        <f>'Markowitz Model'!$I$4*C70+'Markowitz Model'!$J$4*D70+'Markowitz Model'!$K$4*E70</f>
        <v>-1.0361234061515847E-2</v>
      </c>
      <c r="G70" s="153">
        <f>'Markowitz Model'!$I$9*C70+'Markowitz Model'!$J$9*D70+'Markowitz Model'!$K$9*E70</f>
        <v>-1.7740926367845102E-2</v>
      </c>
      <c r="H70" s="153">
        <v>0</v>
      </c>
      <c r="I70" s="153">
        <f t="shared" si="3"/>
        <v>0</v>
      </c>
      <c r="J70" s="153">
        <f t="shared" si="4"/>
        <v>-1.0361234061515847E-2</v>
      </c>
      <c r="K70" s="153">
        <f t="shared" si="5"/>
        <v>-1.7740926367845102E-2</v>
      </c>
    </row>
    <row r="71" spans="2:11" ht="16" x14ac:dyDescent="0.2">
      <c r="B71" s="3">
        <v>41730</v>
      </c>
      <c r="C71" s="151">
        <v>1.4822338223554801E-2</v>
      </c>
      <c r="D71" s="152">
        <v>-3.3619497149757899E-2</v>
      </c>
      <c r="E71" s="153">
        <v>2.5283615335606201E-2</v>
      </c>
      <c r="F71" s="153">
        <f>'Markowitz Model'!$I$4*C71+'Markowitz Model'!$J$4*D71+'Markowitz Model'!$K$4*E71</f>
        <v>-1.9713924265310486E-2</v>
      </c>
      <c r="G71" s="153">
        <f>'Markowitz Model'!$I$9*C71+'Markowitz Model'!$J$9*D71+'Markowitz Model'!$K$9*E71</f>
        <v>-3.3619497149757906E-2</v>
      </c>
      <c r="H71" s="153">
        <v>0</v>
      </c>
      <c r="I71" s="153">
        <f t="shared" si="3"/>
        <v>0</v>
      </c>
      <c r="J71" s="153">
        <f t="shared" si="4"/>
        <v>-1.9713924265310486E-2</v>
      </c>
      <c r="K71" s="153">
        <f t="shared" si="5"/>
        <v>-3.3619497149757906E-2</v>
      </c>
    </row>
    <row r="72" spans="2:11" ht="16" x14ac:dyDescent="0.2">
      <c r="B72" s="3">
        <v>41760</v>
      </c>
      <c r="C72" s="151">
        <v>-4.4043417379415799E-2</v>
      </c>
      <c r="D72" s="152">
        <v>5.6214932680325402E-2</v>
      </c>
      <c r="E72" s="153">
        <v>2.4876140615385501E-2</v>
      </c>
      <c r="F72" s="153">
        <f>'Markowitz Model'!$I$4*C72+'Markowitz Model'!$J$4*D72+'Markowitz Model'!$K$4*E72</f>
        <v>4.8816616381202091E-2</v>
      </c>
      <c r="G72" s="153">
        <f>'Markowitz Model'!$I$9*C72+'Markowitz Model'!$J$9*D72+'Markowitz Model'!$K$9*E72</f>
        <v>5.6214932680325416E-2</v>
      </c>
      <c r="H72" s="153">
        <v>0</v>
      </c>
      <c r="I72" s="153">
        <f t="shared" si="3"/>
        <v>0</v>
      </c>
      <c r="J72" s="153">
        <f t="shared" si="4"/>
        <v>4.8816616381202091E-2</v>
      </c>
      <c r="K72" s="153">
        <f t="shared" si="5"/>
        <v>5.6214932680325416E-2</v>
      </c>
    </row>
    <row r="73" spans="2:11" ht="16" x14ac:dyDescent="0.2">
      <c r="B73" s="3">
        <v>41791</v>
      </c>
      <c r="C73" s="151">
        <v>-8.62850856129793E-3</v>
      </c>
      <c r="D73" s="152">
        <v>8.7807523435179408E-3</v>
      </c>
      <c r="E73" s="153">
        <v>1.1004563542884401E-2</v>
      </c>
      <c r="F73" s="153">
        <f>'Markowitz Model'!$I$4*C73+'Markowitz Model'!$J$4*D73+'Markowitz Model'!$K$4*E73</f>
        <v>9.3057393503034394E-3</v>
      </c>
      <c r="G73" s="153">
        <f>'Markowitz Model'!$I$9*C73+'Markowitz Model'!$J$9*D73+'Markowitz Model'!$K$9*E73</f>
        <v>8.7807523435179426E-3</v>
      </c>
      <c r="H73" s="153">
        <v>0</v>
      </c>
      <c r="I73" s="153">
        <f t="shared" si="3"/>
        <v>0</v>
      </c>
      <c r="J73" s="153">
        <f t="shared" si="4"/>
        <v>9.3057393503034394E-3</v>
      </c>
      <c r="K73" s="153">
        <f t="shared" si="5"/>
        <v>8.7807523435179426E-3</v>
      </c>
    </row>
    <row r="74" spans="2:11" ht="16" x14ac:dyDescent="0.2">
      <c r="B74" s="3">
        <v>41821</v>
      </c>
      <c r="C74" s="151">
        <v>-6.1163432277769901E-2</v>
      </c>
      <c r="D74" s="152">
        <v>-2.1268274861642601E-2</v>
      </c>
      <c r="E74" s="153">
        <v>-1.6406189126187701E-2</v>
      </c>
      <c r="F74" s="153">
        <f>'Markowitz Model'!$I$4*C74+'Markowitz Model'!$J$4*D74+'Markowitz Model'!$K$4*E74</f>
        <v>-2.0120456270874599E-2</v>
      </c>
      <c r="G74" s="153">
        <f>'Markowitz Model'!$I$9*C74+'Markowitz Model'!$J$9*D74+'Markowitz Model'!$K$9*E74</f>
        <v>-2.1268274861642605E-2</v>
      </c>
      <c r="H74" s="153">
        <v>0</v>
      </c>
      <c r="I74" s="153">
        <f t="shared" si="3"/>
        <v>0</v>
      </c>
      <c r="J74" s="153">
        <f t="shared" si="4"/>
        <v>-2.0120456270874599E-2</v>
      </c>
      <c r="K74" s="153">
        <f t="shared" si="5"/>
        <v>-2.1268274861642605E-2</v>
      </c>
    </row>
    <row r="75" spans="2:11" ht="16" x14ac:dyDescent="0.2">
      <c r="B75" s="3">
        <v>41852</v>
      </c>
      <c r="C75" s="151">
        <v>-3.4761192737288199E-2</v>
      </c>
      <c r="D75" s="152">
        <v>1.9076598877961301E-2</v>
      </c>
      <c r="E75" s="153">
        <v>2.2074215954441801E-2</v>
      </c>
      <c r="F75" s="153">
        <f>'Markowitz Model'!$I$4*C75+'Markowitz Model'!$J$4*D75+'Markowitz Model'!$K$4*E75</f>
        <v>1.978426237786585E-2</v>
      </c>
      <c r="G75" s="153">
        <f>'Markowitz Model'!$I$9*C75+'Markowitz Model'!$J$9*D75+'Markowitz Model'!$K$9*E75</f>
        <v>1.9076598877961305E-2</v>
      </c>
      <c r="H75" s="153">
        <v>0</v>
      </c>
      <c r="I75" s="153">
        <f t="shared" si="3"/>
        <v>0</v>
      </c>
      <c r="J75" s="153">
        <f t="shared" si="4"/>
        <v>1.978426237786585E-2</v>
      </c>
      <c r="K75" s="153">
        <f t="shared" si="5"/>
        <v>1.9076598877961305E-2</v>
      </c>
    </row>
    <row r="76" spans="2:11" ht="16" x14ac:dyDescent="0.2">
      <c r="B76" s="3">
        <v>41883</v>
      </c>
      <c r="C76" s="151">
        <v>-5.9596233978174203E-3</v>
      </c>
      <c r="D76" s="152">
        <v>-3.1491935165843801E-3</v>
      </c>
      <c r="E76" s="153">
        <v>-1.02447990003297E-2</v>
      </c>
      <c r="F76" s="153">
        <f>'Markowitz Model'!$I$4*C76+'Markowitz Model'!$J$4*D76+'Markowitz Model'!$K$4*E76</f>
        <v>-4.8242910632211901E-3</v>
      </c>
      <c r="G76" s="153">
        <f>'Markowitz Model'!$I$9*C76+'Markowitz Model'!$J$9*D76+'Markowitz Model'!$K$9*E76</f>
        <v>-3.149193516584381E-3</v>
      </c>
      <c r="H76" s="153">
        <v>0</v>
      </c>
      <c r="I76" s="153">
        <f t="shared" si="3"/>
        <v>0</v>
      </c>
      <c r="J76" s="153">
        <f t="shared" si="4"/>
        <v>-4.8242910632211901E-3</v>
      </c>
      <c r="K76" s="153">
        <f t="shared" si="5"/>
        <v>-3.149193516584381E-3</v>
      </c>
    </row>
    <row r="77" spans="2:11" ht="16" x14ac:dyDescent="0.2">
      <c r="B77" s="3">
        <v>41913</v>
      </c>
      <c r="C77" s="151">
        <v>4.7546697641229103E-2</v>
      </c>
      <c r="D77" s="152">
        <v>-2.75786081319579E-2</v>
      </c>
      <c r="E77" s="153">
        <v>8.5333154936130501E-2</v>
      </c>
      <c r="F77" s="153">
        <f>'Markowitz Model'!$I$4*C77+'Markowitz Model'!$J$4*D77+'Markowitz Model'!$K$4*E77</f>
        <v>-9.2292416882451545E-4</v>
      </c>
      <c r="G77" s="153">
        <f>'Markowitz Model'!$I$9*C77+'Markowitz Model'!$J$9*D77+'Markowitz Model'!$K$9*E77</f>
        <v>-2.7578608131957907E-2</v>
      </c>
      <c r="H77" s="153">
        <v>0</v>
      </c>
      <c r="I77" s="153">
        <f t="shared" si="3"/>
        <v>0</v>
      </c>
      <c r="J77" s="153">
        <f t="shared" si="4"/>
        <v>-9.2292416882451545E-4</v>
      </c>
      <c r="K77" s="153">
        <f t="shared" si="5"/>
        <v>-2.7578608131957907E-2</v>
      </c>
    </row>
    <row r="78" spans="2:11" ht="16" x14ac:dyDescent="0.2">
      <c r="B78" s="3">
        <v>41944</v>
      </c>
      <c r="C78" s="151">
        <v>1.0674181704068499E-2</v>
      </c>
      <c r="D78" s="152">
        <v>8.0870380692490001E-2</v>
      </c>
      <c r="E78" s="153">
        <v>4.11003875293008E-2</v>
      </c>
      <c r="F78" s="153">
        <f>'Markowitz Model'!$I$4*C78+'Markowitz Model'!$J$4*D78+'Markowitz Model'!$K$4*E78</f>
        <v>7.1481665644840958E-2</v>
      </c>
      <c r="G78" s="153">
        <f>'Markowitz Model'!$I$9*C78+'Markowitz Model'!$J$9*D78+'Markowitz Model'!$K$9*E78</f>
        <v>8.0870380692490015E-2</v>
      </c>
      <c r="H78" s="153">
        <v>0</v>
      </c>
      <c r="I78" s="153">
        <f t="shared" si="3"/>
        <v>0</v>
      </c>
      <c r="J78" s="153">
        <f t="shared" si="4"/>
        <v>7.1481665644840958E-2</v>
      </c>
      <c r="K78" s="153">
        <f t="shared" si="5"/>
        <v>8.0870380692490015E-2</v>
      </c>
    </row>
    <row r="79" spans="2:11" ht="16" x14ac:dyDescent="0.2">
      <c r="B79" s="3">
        <v>41974</v>
      </c>
      <c r="C79" s="151">
        <v>-8.5962384826314506E-2</v>
      </c>
      <c r="D79" s="152">
        <v>-4.21152358303436E-2</v>
      </c>
      <c r="E79" s="153">
        <v>3.1931832803712402E-2</v>
      </c>
      <c r="F79" s="153">
        <f>'Markowitz Model'!$I$4*C79+'Markowitz Model'!$J$4*D79+'Markowitz Model'!$K$4*E79</f>
        <v>-2.463454820069769E-2</v>
      </c>
      <c r="G79" s="153">
        <f>'Markowitz Model'!$I$9*C79+'Markowitz Model'!$J$9*D79+'Markowitz Model'!$K$9*E79</f>
        <v>-4.2115235830343607E-2</v>
      </c>
      <c r="H79" s="153">
        <v>0</v>
      </c>
      <c r="I79" s="153">
        <f t="shared" si="3"/>
        <v>0</v>
      </c>
      <c r="J79" s="153">
        <f t="shared" si="4"/>
        <v>-2.463454820069769E-2</v>
      </c>
      <c r="K79" s="153">
        <f t="shared" si="5"/>
        <v>-4.2115235830343607E-2</v>
      </c>
    </row>
    <row r="80" spans="2:11" ht="16" x14ac:dyDescent="0.2">
      <c r="B80" s="3">
        <v>42005</v>
      </c>
      <c r="C80" s="151">
        <v>-9.8593711853027805E-3</v>
      </c>
      <c r="D80" s="152">
        <v>-7.7430375285932301E-2</v>
      </c>
      <c r="E80" s="153">
        <v>-1.2293117416830699E-2</v>
      </c>
      <c r="F80" s="153">
        <f>'Markowitz Model'!$I$4*C80+'Markowitz Model'!$J$4*D80+'Markowitz Model'!$K$4*E80</f>
        <v>-6.2053074349298472E-2</v>
      </c>
      <c r="G80" s="153">
        <f>'Markowitz Model'!$I$9*C80+'Markowitz Model'!$J$9*D80+'Markowitz Model'!$K$9*E80</f>
        <v>-7.7430375285932315E-2</v>
      </c>
      <c r="H80" s="153">
        <v>0</v>
      </c>
      <c r="I80" s="153">
        <f t="shared" si="3"/>
        <v>0</v>
      </c>
      <c r="J80" s="153">
        <f t="shared" si="4"/>
        <v>-6.2053074349298472E-2</v>
      </c>
      <c r="K80" s="153">
        <f t="shared" si="5"/>
        <v>-7.7430375285932315E-2</v>
      </c>
    </row>
    <row r="81" spans="2:11" ht="16" x14ac:dyDescent="0.2">
      <c r="B81" s="3">
        <v>42036</v>
      </c>
      <c r="C81" s="151">
        <v>1.2190464669121499E-2</v>
      </c>
      <c r="D81" s="152">
        <v>0.12029021420361501</v>
      </c>
      <c r="E81" s="153">
        <v>3.9125254443513002E-2</v>
      </c>
      <c r="F81" s="153">
        <f>'Markowitz Model'!$I$4*C81+'Markowitz Model'!$J$4*D81+'Markowitz Model'!$K$4*E81</f>
        <v>0.1011291679365306</v>
      </c>
      <c r="G81" s="153">
        <f>'Markowitz Model'!$I$9*C81+'Markowitz Model'!$J$9*D81+'Markowitz Model'!$K$9*E81</f>
        <v>0.12029021420361503</v>
      </c>
      <c r="H81" s="153">
        <v>0</v>
      </c>
      <c r="I81" s="153">
        <f t="shared" si="3"/>
        <v>0</v>
      </c>
      <c r="J81" s="153">
        <f t="shared" si="4"/>
        <v>0.1011291679365306</v>
      </c>
      <c r="K81" s="153">
        <f t="shared" si="5"/>
        <v>0.12029021420361503</v>
      </c>
    </row>
    <row r="82" spans="2:11" ht="16" x14ac:dyDescent="0.2">
      <c r="B82" s="3">
        <v>42064</v>
      </c>
      <c r="C82" s="151">
        <v>-9.0791433543792197E-2</v>
      </c>
      <c r="D82" s="152">
        <v>-1.5636379040884898E-2</v>
      </c>
      <c r="E82" s="153">
        <v>-1.58558615915976E-2</v>
      </c>
      <c r="F82" s="153">
        <f>'Markowitz Model'!$I$4*C82+'Markowitz Model'!$J$4*D82+'Markowitz Model'!$K$4*E82</f>
        <v>-1.5688193460819982E-2</v>
      </c>
      <c r="G82" s="153">
        <f>'Markowitz Model'!$I$9*C82+'Markowitz Model'!$J$9*D82+'Markowitz Model'!$K$9*E82</f>
        <v>-1.5636379040884902E-2</v>
      </c>
      <c r="H82" s="153">
        <v>0</v>
      </c>
      <c r="I82" s="153">
        <f t="shared" si="3"/>
        <v>0</v>
      </c>
      <c r="J82" s="153">
        <f t="shared" si="4"/>
        <v>-1.5688193460819982E-2</v>
      </c>
      <c r="K82" s="153">
        <f t="shared" si="5"/>
        <v>-1.5636379040884902E-2</v>
      </c>
    </row>
    <row r="83" spans="2:11" ht="16" x14ac:dyDescent="0.2">
      <c r="B83" s="3">
        <v>42095</v>
      </c>
      <c r="C83" s="151">
        <v>-0.169424524017771</v>
      </c>
      <c r="D83" s="152">
        <v>-1.8795112508349599E-3</v>
      </c>
      <c r="E83" s="153">
        <v>-5.18941577760723E-2</v>
      </c>
      <c r="F83" s="153">
        <f>'Markowitz Model'!$I$4*C83+'Markowitz Model'!$J$4*D83+'Markowitz Model'!$K$4*E83</f>
        <v>-1.3686736424536473E-2</v>
      </c>
      <c r="G83" s="153">
        <f>'Markowitz Model'!$I$9*C83+'Markowitz Model'!$J$9*D83+'Markowitz Model'!$K$9*E83</f>
        <v>-1.8795112508349604E-3</v>
      </c>
      <c r="H83" s="153">
        <v>0</v>
      </c>
      <c r="I83" s="153">
        <f t="shared" si="3"/>
        <v>0</v>
      </c>
      <c r="J83" s="153">
        <f t="shared" si="4"/>
        <v>-1.3686736424536473E-2</v>
      </c>
      <c r="K83" s="153">
        <f t="shared" si="5"/>
        <v>-1.8795112508349604E-3</v>
      </c>
    </row>
    <row r="84" spans="2:11" ht="16" x14ac:dyDescent="0.2">
      <c r="B84" s="3">
        <v>42125</v>
      </c>
      <c r="C84" s="151">
        <v>-7.4849042338709704E-2</v>
      </c>
      <c r="D84" s="152">
        <v>-4.3507350339146997E-3</v>
      </c>
      <c r="E84" s="153">
        <v>1.72006685884643E-2</v>
      </c>
      <c r="F84" s="153">
        <f>'Markowitz Model'!$I$4*C84+'Markowitz Model'!$J$4*D84+'Markowitz Model'!$K$4*E84</f>
        <v>7.3702011497661256E-4</v>
      </c>
      <c r="G84" s="153">
        <f>'Markowitz Model'!$I$9*C84+'Markowitz Model'!$J$9*D84+'Markowitz Model'!$K$9*E84</f>
        <v>-4.3507350339147006E-3</v>
      </c>
      <c r="H84" s="153">
        <v>0</v>
      </c>
      <c r="I84" s="153">
        <f t="shared" si="3"/>
        <v>0</v>
      </c>
      <c r="J84" s="153">
        <f t="shared" si="4"/>
        <v>7.3702011497661256E-4</v>
      </c>
      <c r="K84" s="153">
        <f t="shared" si="5"/>
        <v>-4.3507350339147006E-3</v>
      </c>
    </row>
    <row r="85" spans="2:11" ht="16" x14ac:dyDescent="0.2">
      <c r="B85" s="3">
        <v>42156</v>
      </c>
      <c r="C85" s="151">
        <v>7.8215766334994701E-3</v>
      </c>
      <c r="D85" s="152">
        <v>-6.3365111718298006E-2</v>
      </c>
      <c r="E85" s="153">
        <v>-2.3914521807590801E-2</v>
      </c>
      <c r="F85" s="153">
        <f>'Markowitz Model'!$I$4*C85+'Markowitz Model'!$J$4*D85+'Markowitz Model'!$K$4*E85</f>
        <v>-5.4051799905206761E-2</v>
      </c>
      <c r="G85" s="153">
        <f>'Markowitz Model'!$I$9*C85+'Markowitz Model'!$J$9*D85+'Markowitz Model'!$K$9*E85</f>
        <v>-6.336511171829802E-2</v>
      </c>
      <c r="H85" s="153">
        <v>0</v>
      </c>
      <c r="I85" s="153">
        <f t="shared" si="3"/>
        <v>0</v>
      </c>
      <c r="J85" s="153">
        <f t="shared" si="4"/>
        <v>-5.4051799905206761E-2</v>
      </c>
      <c r="K85" s="153">
        <f t="shared" si="5"/>
        <v>-6.336511171829802E-2</v>
      </c>
    </row>
    <row r="86" spans="2:11" ht="16" x14ac:dyDescent="0.2">
      <c r="B86" s="3">
        <v>42186</v>
      </c>
      <c r="C86" s="151">
        <v>-8.5657343058054294E-2</v>
      </c>
      <c r="D86" s="152">
        <v>6.4087840706919197E-2</v>
      </c>
      <c r="E86" s="153">
        <v>-1.9183364103783102E-2</v>
      </c>
      <c r="F86" s="153">
        <f>'Markowitz Model'!$I$4*C86+'Markowitz Model'!$J$4*D86+'Markowitz Model'!$K$4*E86</f>
        <v>4.4429561902744198E-2</v>
      </c>
      <c r="G86" s="153">
        <f>'Markowitz Model'!$I$9*C86+'Markowitz Model'!$J$9*D86+'Markowitz Model'!$K$9*E86</f>
        <v>6.4087840706919211E-2</v>
      </c>
      <c r="H86" s="153">
        <v>0</v>
      </c>
      <c r="I86" s="153">
        <f t="shared" si="3"/>
        <v>0</v>
      </c>
      <c r="J86" s="153">
        <f t="shared" si="4"/>
        <v>4.4429561902744198E-2</v>
      </c>
      <c r="K86" s="153">
        <f t="shared" si="5"/>
        <v>6.4087840706919211E-2</v>
      </c>
    </row>
    <row r="87" spans="2:11" ht="16" x14ac:dyDescent="0.2">
      <c r="B87" s="3">
        <v>42217</v>
      </c>
      <c r="C87" s="151">
        <v>-0.109931197620199</v>
      </c>
      <c r="D87" s="152">
        <v>-0.113308979815979</v>
      </c>
      <c r="E87" s="153">
        <v>-6.0790483182688898E-2</v>
      </c>
      <c r="F87" s="153">
        <f>'Markowitz Model'!$I$4*C87+'Markowitz Model'!$J$4*D87+'Markowitz Model'!$K$4*E87</f>
        <v>-0.10091065735216555</v>
      </c>
      <c r="G87" s="153">
        <f>'Markowitz Model'!$I$9*C87+'Markowitz Model'!$J$9*D87+'Markowitz Model'!$K$9*E87</f>
        <v>-0.11330897981597902</v>
      </c>
      <c r="H87" s="153">
        <v>0</v>
      </c>
      <c r="I87" s="153">
        <f t="shared" si="3"/>
        <v>0</v>
      </c>
      <c r="J87" s="153">
        <f t="shared" si="4"/>
        <v>-0.10091065735216555</v>
      </c>
      <c r="K87" s="153">
        <f t="shared" si="5"/>
        <v>-0.11330897981597902</v>
      </c>
    </row>
    <row r="88" spans="2:11" ht="16" x14ac:dyDescent="0.2">
      <c r="B88" s="3">
        <v>42248</v>
      </c>
      <c r="C88" s="151">
        <v>8.5404461995322895E-2</v>
      </c>
      <c r="D88" s="152">
        <v>-5.4530690532848397E-2</v>
      </c>
      <c r="E88" s="153">
        <v>4.3381960280040001E-3</v>
      </c>
      <c r="F88" s="153">
        <f>'Markowitz Model'!$I$4*C88+'Markowitz Model'!$J$4*D88+'Markowitz Model'!$K$4*E88</f>
        <v>-4.063319754550241E-2</v>
      </c>
      <c r="G88" s="153">
        <f>'Markowitz Model'!$I$9*C88+'Markowitz Model'!$J$9*D88+'Markowitz Model'!$K$9*E88</f>
        <v>-5.4530690532848411E-2</v>
      </c>
      <c r="H88" s="153">
        <v>0</v>
      </c>
      <c r="I88" s="153">
        <f t="shared" si="3"/>
        <v>0</v>
      </c>
      <c r="J88" s="153">
        <f t="shared" si="4"/>
        <v>-4.063319754550241E-2</v>
      </c>
      <c r="K88" s="153">
        <f t="shared" si="5"/>
        <v>-5.4530690532848411E-2</v>
      </c>
    </row>
    <row r="89" spans="2:11" ht="16" x14ac:dyDescent="0.2">
      <c r="B89" s="3">
        <v>42278</v>
      </c>
      <c r="C89" s="151">
        <v>9.3925079148263299E-2</v>
      </c>
      <c r="D89" s="152">
        <v>0.10310580632363001</v>
      </c>
      <c r="E89" s="153">
        <v>0.10890883485981299</v>
      </c>
      <c r="F89" s="153">
        <f>'Markowitz Model'!$I$4*C89+'Markowitz Model'!$J$4*D89+'Markowitz Model'!$K$4*E89</f>
        <v>0.10447575831522422</v>
      </c>
      <c r="G89" s="153">
        <f>'Markowitz Model'!$I$9*C89+'Markowitz Model'!$J$9*D89+'Markowitz Model'!$K$9*E89</f>
        <v>0.10310580632363003</v>
      </c>
      <c r="H89" s="153">
        <v>0</v>
      </c>
      <c r="I89" s="153">
        <f t="shared" si="3"/>
        <v>0</v>
      </c>
      <c r="J89" s="153">
        <f t="shared" si="4"/>
        <v>0.10447575831522422</v>
      </c>
      <c r="K89" s="153">
        <f t="shared" si="5"/>
        <v>0.10310580632363003</v>
      </c>
    </row>
    <row r="90" spans="2:11" ht="16" x14ac:dyDescent="0.2">
      <c r="B90" s="3">
        <v>42309</v>
      </c>
      <c r="C90" s="151">
        <v>5.30814463851665E-2</v>
      </c>
      <c r="D90" s="152">
        <v>0.107521174896977</v>
      </c>
      <c r="E90" s="153">
        <v>-4.0071971470937396E-3</v>
      </c>
      <c r="F90" s="153">
        <f>'Markowitz Model'!$I$4*C90+'Markowitz Model'!$J$4*D90+'Markowitz Model'!$K$4*E90</f>
        <v>8.1192075453752469E-2</v>
      </c>
      <c r="G90" s="153">
        <f>'Markowitz Model'!$I$9*C90+'Markowitz Model'!$J$9*D90+'Markowitz Model'!$K$9*E90</f>
        <v>0.10752117489697703</v>
      </c>
      <c r="H90" s="153">
        <v>0</v>
      </c>
      <c r="I90" s="153">
        <f t="shared" si="3"/>
        <v>0</v>
      </c>
      <c r="J90" s="153">
        <f t="shared" si="4"/>
        <v>8.1192075453752469E-2</v>
      </c>
      <c r="K90" s="153">
        <f t="shared" si="5"/>
        <v>0.10752117489697703</v>
      </c>
    </row>
    <row r="91" spans="2:11" ht="16" x14ac:dyDescent="0.2">
      <c r="B91" s="3">
        <v>42339</v>
      </c>
      <c r="C91" s="151">
        <v>1.9582726560996E-4</v>
      </c>
      <c r="D91" s="152">
        <v>-2.39110272456156E-4</v>
      </c>
      <c r="E91" s="153">
        <v>-3.1614893291429899E-2</v>
      </c>
      <c r="F91" s="153">
        <f>'Markowitz Model'!$I$4*C91+'Markowitz Model'!$J$4*D91+'Markowitz Model'!$K$4*E91</f>
        <v>-7.6461592239925628E-3</v>
      </c>
      <c r="G91" s="153">
        <f>'Markowitz Model'!$I$9*C91+'Markowitz Model'!$J$9*D91+'Markowitz Model'!$K$9*E91</f>
        <v>-2.3911027245615606E-4</v>
      </c>
      <c r="H91" s="153">
        <v>0.01</v>
      </c>
      <c r="I91" s="153">
        <f t="shared" si="3"/>
        <v>1E-4</v>
      </c>
      <c r="J91" s="153">
        <f t="shared" si="4"/>
        <v>-7.7461592239925631E-3</v>
      </c>
      <c r="K91" s="153">
        <f t="shared" si="5"/>
        <v>-3.3911027245615605E-4</v>
      </c>
    </row>
    <row r="92" spans="2:11" ht="16" x14ac:dyDescent="0.2">
      <c r="B92" s="3">
        <v>42370</v>
      </c>
      <c r="C92" s="151">
        <v>7.4141727147784206E-2</v>
      </c>
      <c r="D92" s="152">
        <v>-9.7035619235512696E-2</v>
      </c>
      <c r="E92" s="153">
        <v>2.3896496047306499E-3</v>
      </c>
      <c r="F92" s="153">
        <f>'Markowitz Model'!$I$4*C92+'Markowitz Model'!$J$4*D92+'Markowitz Model'!$K$4*E92</f>
        <v>-7.356376411482933E-2</v>
      </c>
      <c r="G92" s="153">
        <f>'Markowitz Model'!$I$9*C92+'Markowitz Model'!$J$9*D92+'Markowitz Model'!$K$9*E92</f>
        <v>-9.7035619235512724E-2</v>
      </c>
      <c r="H92" s="153">
        <v>0.01</v>
      </c>
      <c r="I92" s="153">
        <f t="shared" si="3"/>
        <v>1E-4</v>
      </c>
      <c r="J92" s="153">
        <f t="shared" si="4"/>
        <v>-7.3663764114829333E-2</v>
      </c>
      <c r="K92" s="153">
        <f t="shared" si="5"/>
        <v>-9.7135619235512727E-2</v>
      </c>
    </row>
    <row r="93" spans="2:11" ht="16" x14ac:dyDescent="0.2">
      <c r="B93" s="3">
        <v>42401</v>
      </c>
      <c r="C93" s="151">
        <v>3.35601888685442E-2</v>
      </c>
      <c r="D93" s="152">
        <v>-7.9679843453316392E-3</v>
      </c>
      <c r="E93" s="153">
        <v>3.8874329121041801E-2</v>
      </c>
      <c r="F93" s="153">
        <f>'Markowitz Model'!$I$4*C93+'Markowitz Model'!$J$4*D93+'Markowitz Model'!$K$4*E93</f>
        <v>3.0903311918080529E-3</v>
      </c>
      <c r="G93" s="153">
        <f>'Markowitz Model'!$I$9*C93+'Markowitz Model'!$J$9*D93+'Markowitz Model'!$K$9*E93</f>
        <v>-7.9679843453316409E-3</v>
      </c>
      <c r="H93" s="153">
        <v>0.02</v>
      </c>
      <c r="I93" s="153">
        <f t="shared" si="3"/>
        <v>2.0000000000000001E-4</v>
      </c>
      <c r="J93" s="153">
        <f t="shared" si="4"/>
        <v>2.8903311918080528E-3</v>
      </c>
      <c r="K93" s="153">
        <f t="shared" si="5"/>
        <v>-8.1679843453316414E-3</v>
      </c>
    </row>
    <row r="94" spans="2:11" ht="16" x14ac:dyDescent="0.2">
      <c r="B94" s="3">
        <v>42430</v>
      </c>
      <c r="C94" s="151">
        <v>3.5723345723119602E-2</v>
      </c>
      <c r="D94" s="152">
        <v>6.6934443603531499E-2</v>
      </c>
      <c r="E94" s="153">
        <v>6.9891731318660694E-2</v>
      </c>
      <c r="F94" s="153">
        <f>'Markowitz Model'!$I$4*C94+'Markowitz Model'!$J$4*D94+'Markowitz Model'!$K$4*E94</f>
        <v>6.7632586335347744E-2</v>
      </c>
      <c r="G94" s="153">
        <f>'Markowitz Model'!$I$9*C94+'Markowitz Model'!$J$9*D94+'Markowitz Model'!$K$9*E94</f>
        <v>6.6934443603531513E-2</v>
      </c>
      <c r="H94" s="153">
        <v>0.02</v>
      </c>
      <c r="I94" s="153">
        <f t="shared" si="3"/>
        <v>2.0000000000000001E-4</v>
      </c>
      <c r="J94" s="153">
        <f t="shared" si="4"/>
        <v>6.7432586335347738E-2</v>
      </c>
      <c r="K94" s="153">
        <f t="shared" si="5"/>
        <v>6.6734443603531507E-2</v>
      </c>
    </row>
    <row r="95" spans="2:11" ht="16" x14ac:dyDescent="0.2">
      <c r="B95" s="3">
        <v>42461</v>
      </c>
      <c r="C95" s="151">
        <v>-1.9762000526814202E-2</v>
      </c>
      <c r="D95" s="152">
        <v>2.6850582335452101E-2</v>
      </c>
      <c r="E95" s="153">
        <v>4.5011516561150903E-3</v>
      </c>
      <c r="F95" s="153">
        <f>'Markowitz Model'!$I$4*C95+'Markowitz Model'!$J$4*D95+'Markowitz Model'!$K$4*E95</f>
        <v>2.157443266993745E-2</v>
      </c>
      <c r="G95" s="153">
        <f>'Markowitz Model'!$I$9*C95+'Markowitz Model'!$J$9*D95+'Markowitz Model'!$K$9*E95</f>
        <v>2.6850582335452108E-2</v>
      </c>
      <c r="H95" s="153">
        <v>0.01</v>
      </c>
      <c r="I95" s="153">
        <f t="shared" si="3"/>
        <v>1E-4</v>
      </c>
      <c r="J95" s="153">
        <f t="shared" si="4"/>
        <v>2.1474432669937451E-2</v>
      </c>
      <c r="K95" s="153">
        <f t="shared" si="5"/>
        <v>2.6750582335452109E-2</v>
      </c>
    </row>
    <row r="96" spans="2:11" ht="16" x14ac:dyDescent="0.2">
      <c r="B96" s="3">
        <v>42491</v>
      </c>
      <c r="C96" s="151">
        <v>5.7364061453727598E-2</v>
      </c>
      <c r="D96" s="152">
        <v>0.124702338207896</v>
      </c>
      <c r="E96" s="153">
        <v>5.61589839160104E-3</v>
      </c>
      <c r="F96" s="153">
        <f>'Markowitz Model'!$I$4*C96+'Markowitz Model'!$J$4*D96+'Markowitz Model'!$K$4*E96</f>
        <v>9.6588965271511465E-2</v>
      </c>
      <c r="G96" s="153">
        <f>'Markowitz Model'!$I$9*C96+'Markowitz Model'!$J$9*D96+'Markowitz Model'!$K$9*E96</f>
        <v>0.12470233820789603</v>
      </c>
      <c r="H96" s="153">
        <v>0.01</v>
      </c>
      <c r="I96" s="153">
        <f t="shared" si="3"/>
        <v>1E-4</v>
      </c>
      <c r="J96" s="153">
        <f t="shared" si="4"/>
        <v>9.6488965271511462E-2</v>
      </c>
      <c r="K96" s="153">
        <f t="shared" si="5"/>
        <v>0.12460233820789603</v>
      </c>
    </row>
    <row r="97" spans="2:11" ht="16" x14ac:dyDescent="0.2">
      <c r="B97" s="3">
        <v>42522</v>
      </c>
      <c r="C97" s="151">
        <v>1.7770570919338299E-2</v>
      </c>
      <c r="D97" s="152">
        <v>-3.3340379835438E-2</v>
      </c>
      <c r="E97" s="153">
        <v>4.73268798993811E-2</v>
      </c>
      <c r="F97" s="153">
        <f>'Markowitz Model'!$I$4*C97+'Markowitz Model'!$J$4*D97+'Markowitz Model'!$K$4*E97</f>
        <v>-1.429682827591902E-2</v>
      </c>
      <c r="G97" s="153">
        <f>'Markowitz Model'!$I$9*C97+'Markowitz Model'!$J$9*D97+'Markowitz Model'!$K$9*E97</f>
        <v>-3.3340379835438007E-2</v>
      </c>
      <c r="H97" s="153">
        <v>0.02</v>
      </c>
      <c r="I97" s="153">
        <f t="shared" si="3"/>
        <v>2.0000000000000001E-4</v>
      </c>
      <c r="J97" s="153">
        <f t="shared" si="4"/>
        <v>-1.449682827591902E-2</v>
      </c>
      <c r="K97" s="153">
        <f t="shared" si="5"/>
        <v>-3.3540379835438006E-2</v>
      </c>
    </row>
    <row r="98" spans="2:11" ht="16" x14ac:dyDescent="0.2">
      <c r="B98" s="3">
        <v>42552</v>
      </c>
      <c r="C98" s="151">
        <v>-3.6974245692262202E-2</v>
      </c>
      <c r="D98" s="152">
        <v>8.7392878322159098E-2</v>
      </c>
      <c r="E98" s="153">
        <v>1.8501241070543399E-2</v>
      </c>
      <c r="F98" s="153">
        <f>'Markowitz Model'!$I$4*C98+'Markowitz Model'!$J$4*D98+'Markowitz Model'!$K$4*E98</f>
        <v>7.1129260959506391E-2</v>
      </c>
      <c r="G98" s="153">
        <f>'Markowitz Model'!$I$9*C98+'Markowitz Model'!$J$9*D98+'Markowitz Model'!$K$9*E98</f>
        <v>8.7392878322159112E-2</v>
      </c>
      <c r="H98" s="153">
        <v>0.02</v>
      </c>
      <c r="I98" s="153">
        <f t="shared" si="3"/>
        <v>2.0000000000000001E-4</v>
      </c>
      <c r="J98" s="153">
        <f t="shared" si="4"/>
        <v>7.0929260959506385E-2</v>
      </c>
      <c r="K98" s="153">
        <f t="shared" si="5"/>
        <v>8.7192878322159106E-2</v>
      </c>
    </row>
    <row r="99" spans="2:11" ht="16" x14ac:dyDescent="0.2">
      <c r="B99" s="3">
        <v>42583</v>
      </c>
      <c r="C99" s="151">
        <v>2.8513689046546099E-2</v>
      </c>
      <c r="D99" s="152">
        <v>-2.3487815592825399E-2</v>
      </c>
      <c r="E99" s="153">
        <v>4.93412146807803E-3</v>
      </c>
      <c r="F99" s="153">
        <f>'Markowitz Model'!$I$4*C99+'Markowitz Model'!$J$4*D99+'Markowitz Model'!$K$4*E99</f>
        <v>-1.6778096859103607E-2</v>
      </c>
      <c r="G99" s="153">
        <f>'Markowitz Model'!$I$9*C99+'Markowitz Model'!$J$9*D99+'Markowitz Model'!$K$9*E99</f>
        <v>-2.3487815592825406E-2</v>
      </c>
      <c r="H99" s="153">
        <v>0.02</v>
      </c>
      <c r="I99" s="153">
        <f t="shared" si="3"/>
        <v>2.0000000000000001E-4</v>
      </c>
      <c r="J99" s="153">
        <f t="shared" si="4"/>
        <v>-1.6978096859103606E-2</v>
      </c>
      <c r="K99" s="153">
        <f t="shared" si="5"/>
        <v>-2.3687815592825404E-2</v>
      </c>
    </row>
    <row r="100" spans="2:11" ht="16" x14ac:dyDescent="0.2">
      <c r="B100" s="3">
        <v>42614</v>
      </c>
      <c r="C100" s="151">
        <v>5.8796425545497397E-2</v>
      </c>
      <c r="D100" s="152">
        <v>2.3414664808858502E-3</v>
      </c>
      <c r="E100" s="153">
        <v>-1.0666600293866501E-2</v>
      </c>
      <c r="F100" s="153">
        <f>'Markowitz Model'!$I$4*C100+'Markowitz Model'!$J$4*D100+'Markowitz Model'!$K$4*E100</f>
        <v>-7.2941743322009543E-4</v>
      </c>
      <c r="G100" s="153">
        <f>'Markowitz Model'!$I$9*C100+'Markowitz Model'!$J$9*D100+'Markowitz Model'!$K$9*E100</f>
        <v>2.3414664808858506E-3</v>
      </c>
      <c r="H100" s="153">
        <v>0.02</v>
      </c>
      <c r="I100" s="153">
        <f t="shared" si="3"/>
        <v>2.0000000000000001E-4</v>
      </c>
      <c r="J100" s="153">
        <f t="shared" si="4"/>
        <v>-9.2941743322009541E-4</v>
      </c>
      <c r="K100" s="153">
        <f t="shared" si="5"/>
        <v>2.1414664808858505E-3</v>
      </c>
    </row>
    <row r="101" spans="2:11" ht="16" x14ac:dyDescent="0.2">
      <c r="B101" s="3">
        <v>42644</v>
      </c>
      <c r="C101" s="151">
        <v>1.4759230482013001E-2</v>
      </c>
      <c r="D101" s="152">
        <v>-7.2451873413708401E-2</v>
      </c>
      <c r="E101" s="153">
        <v>-6.2021380212762003E-2</v>
      </c>
      <c r="F101" s="153">
        <f>'Markowitz Model'!$I$4*C101+'Markowitz Model'!$J$4*D101+'Markowitz Model'!$K$4*E101</f>
        <v>-6.9989491082680794E-2</v>
      </c>
      <c r="G101" s="153">
        <f>'Markowitz Model'!$I$9*C101+'Markowitz Model'!$J$9*D101+'Markowitz Model'!$K$9*E101</f>
        <v>-7.2451873413708415E-2</v>
      </c>
      <c r="H101" s="153">
        <v>0.02</v>
      </c>
      <c r="I101" s="153">
        <f t="shared" si="3"/>
        <v>2.0000000000000001E-4</v>
      </c>
      <c r="J101" s="153">
        <f t="shared" si="4"/>
        <v>-7.0189491082680799E-2</v>
      </c>
      <c r="K101" s="153">
        <f t="shared" si="5"/>
        <v>-7.265187341370842E-2</v>
      </c>
    </row>
    <row r="102" spans="2:11" ht="16" x14ac:dyDescent="0.2">
      <c r="B102" s="3">
        <v>42675</v>
      </c>
      <c r="C102" s="151">
        <v>-8.1975842073190502E-2</v>
      </c>
      <c r="D102" s="152">
        <v>9.4097788343265893E-3</v>
      </c>
      <c r="E102" s="153">
        <v>3.8959223346359803E-2</v>
      </c>
      <c r="F102" s="153">
        <f>'Markowitz Model'!$I$4*C102+'Markowitz Model'!$J$4*D102+'Markowitz Model'!$K$4*E102</f>
        <v>1.6385674283978954E-2</v>
      </c>
      <c r="G102" s="153">
        <f>'Markowitz Model'!$I$9*C102+'Markowitz Model'!$J$9*D102+'Markowitz Model'!$K$9*E102</f>
        <v>9.409778834326591E-3</v>
      </c>
      <c r="H102" s="153">
        <v>0.01</v>
      </c>
      <c r="I102" s="153">
        <f t="shared" si="3"/>
        <v>1E-4</v>
      </c>
      <c r="J102" s="153">
        <f t="shared" si="4"/>
        <v>1.6285674283978955E-2</v>
      </c>
      <c r="K102" s="153">
        <f t="shared" si="5"/>
        <v>9.3097788343265916E-3</v>
      </c>
    </row>
    <row r="103" spans="2:11" ht="16" x14ac:dyDescent="0.2">
      <c r="B103" s="3">
        <v>42705</v>
      </c>
      <c r="C103" s="151">
        <v>-5.3882442239838499E-2</v>
      </c>
      <c r="D103" s="152">
        <v>3.5925673202286103E-2</v>
      </c>
      <c r="E103" s="153">
        <v>4.6435956156811301E-2</v>
      </c>
      <c r="F103" s="153">
        <f>'Markowitz Model'!$I$4*C103+'Markowitz Model'!$J$4*D103+'Markowitz Model'!$K$4*E103</f>
        <v>3.8406891927300527E-2</v>
      </c>
      <c r="G103" s="153">
        <f>'Markowitz Model'!$I$9*C103+'Markowitz Model'!$J$9*D103+'Markowitz Model'!$K$9*E103</f>
        <v>3.592567320228611E-2</v>
      </c>
      <c r="H103" s="153">
        <v>0.03</v>
      </c>
      <c r="I103" s="153">
        <f t="shared" si="3"/>
        <v>2.9999999999999997E-4</v>
      </c>
      <c r="J103" s="153">
        <f t="shared" si="4"/>
        <v>3.8106891927300525E-2</v>
      </c>
      <c r="K103" s="153">
        <f t="shared" si="5"/>
        <v>3.5625673202286108E-2</v>
      </c>
    </row>
    <row r="104" spans="2:11" ht="16" x14ac:dyDescent="0.2">
      <c r="B104" s="3">
        <v>42736</v>
      </c>
      <c r="C104" s="151">
        <v>6.8777849574635203E-2</v>
      </c>
      <c r="D104" s="152">
        <v>7.79584473057022E-2</v>
      </c>
      <c r="E104" s="153">
        <v>-2.0999810562325399E-2</v>
      </c>
      <c r="F104" s="153">
        <f>'Markowitz Model'!$I$4*C104+'Markowitz Model'!$J$4*D104+'Markowitz Model'!$K$4*E104</f>
        <v>5.4596841963646343E-2</v>
      </c>
      <c r="G104" s="153">
        <f>'Markowitz Model'!$I$9*C104+'Markowitz Model'!$J$9*D104+'Markowitz Model'!$K$9*E104</f>
        <v>7.7958447305702214E-2</v>
      </c>
      <c r="H104" s="153">
        <v>0.04</v>
      </c>
      <c r="I104" s="153">
        <f t="shared" si="3"/>
        <v>4.0000000000000002E-4</v>
      </c>
      <c r="J104" s="153">
        <f t="shared" si="4"/>
        <v>5.4196841963646346E-2</v>
      </c>
      <c r="K104" s="153">
        <f t="shared" si="5"/>
        <v>7.7558447305702216E-2</v>
      </c>
    </row>
    <row r="105" spans="2:11" ht="16" x14ac:dyDescent="0.2">
      <c r="B105" s="3">
        <v>42767</v>
      </c>
      <c r="C105" s="151">
        <v>-4.7449183632604801E-2</v>
      </c>
      <c r="D105" s="152">
        <v>4.7580258525066602E-2</v>
      </c>
      <c r="E105" s="153">
        <v>6.5953488064342897E-2</v>
      </c>
      <c r="F105" s="153">
        <f>'Markowitz Model'!$I$4*C105+'Markowitz Model'!$J$4*D105+'Markowitz Model'!$K$4*E105</f>
        <v>5.191772511555573E-2</v>
      </c>
      <c r="G105" s="153">
        <f>'Markowitz Model'!$I$9*C105+'Markowitz Model'!$J$9*D105+'Markowitz Model'!$K$9*E105</f>
        <v>4.7580258525066615E-2</v>
      </c>
      <c r="H105" s="153">
        <v>0.04</v>
      </c>
      <c r="I105" s="153">
        <f t="shared" si="3"/>
        <v>4.0000000000000002E-4</v>
      </c>
      <c r="J105" s="153">
        <f t="shared" si="4"/>
        <v>5.1517725115555732E-2</v>
      </c>
      <c r="K105" s="153">
        <f t="shared" si="5"/>
        <v>4.7180258525066618E-2</v>
      </c>
    </row>
    <row r="106" spans="2:11" ht="16" x14ac:dyDescent="0.2">
      <c r="B106" s="3">
        <v>42795</v>
      </c>
      <c r="C106" s="151">
        <v>8.7551103051135601E-2</v>
      </c>
      <c r="D106" s="152">
        <v>3.0604424075301201E-2</v>
      </c>
      <c r="E106" s="153">
        <v>3.3409867264146298E-2</v>
      </c>
      <c r="F106" s="153">
        <f>'Markowitz Model'!$I$4*C106+'Markowitz Model'!$J$4*D106+'Markowitz Model'!$K$4*E106</f>
        <v>3.1266720057459292E-2</v>
      </c>
      <c r="G106" s="153">
        <f>'Markowitz Model'!$I$9*C106+'Markowitz Model'!$J$9*D106+'Markowitz Model'!$K$9*E106</f>
        <v>3.0604424075301208E-2</v>
      </c>
      <c r="H106" s="153">
        <v>0.03</v>
      </c>
      <c r="I106" s="153">
        <f t="shared" si="3"/>
        <v>2.9999999999999997E-4</v>
      </c>
      <c r="J106" s="153">
        <f t="shared" si="4"/>
        <v>3.096672005745929E-2</v>
      </c>
      <c r="K106" s="153">
        <f t="shared" si="5"/>
        <v>3.0304424075301206E-2</v>
      </c>
    </row>
    <row r="107" spans="2:11" ht="16" x14ac:dyDescent="0.2">
      <c r="B107" s="3">
        <v>42826</v>
      </c>
      <c r="C107" s="151">
        <v>3.6855994035540601E-2</v>
      </c>
      <c r="D107" s="152">
        <v>4.3816975534386501E-2</v>
      </c>
      <c r="E107" s="153">
        <v>2.3519772701538599E-2</v>
      </c>
      <c r="F107" s="153">
        <f>'Markowitz Model'!$I$4*C107+'Markowitz Model'!$J$4*D107+'Markowitz Model'!$K$4*E107</f>
        <v>3.9025306275606519E-2</v>
      </c>
      <c r="G107" s="153">
        <f>'Markowitz Model'!$I$9*C107+'Markowitz Model'!$J$9*D107+'Markowitz Model'!$K$9*E107</f>
        <v>4.3816975534386508E-2</v>
      </c>
      <c r="H107" s="153">
        <v>0.05</v>
      </c>
      <c r="I107" s="153">
        <f t="shared" si="3"/>
        <v>5.0000000000000001E-4</v>
      </c>
      <c r="J107" s="153">
        <f t="shared" si="4"/>
        <v>3.8525306275606519E-2</v>
      </c>
      <c r="K107" s="153">
        <f t="shared" si="5"/>
        <v>4.3316975534386508E-2</v>
      </c>
    </row>
    <row r="108" spans="2:11" ht="16" x14ac:dyDescent="0.2">
      <c r="B108" s="3">
        <v>42856</v>
      </c>
      <c r="C108" s="151">
        <v>-2.2902497465766601E-3</v>
      </c>
      <c r="D108" s="152">
        <v>9.6094428294484002E-2</v>
      </c>
      <c r="E108" s="153">
        <v>4.4119822970064802E-2</v>
      </c>
      <c r="F108" s="153">
        <f>'Markowitz Model'!$I$4*C108+'Markowitz Model'!$J$4*D108+'Markowitz Model'!$K$4*E108</f>
        <v>8.3824505161666868E-2</v>
      </c>
      <c r="G108" s="153">
        <f>'Markowitz Model'!$I$9*C108+'Markowitz Model'!$J$9*D108+'Markowitz Model'!$K$9*E108</f>
        <v>9.609442829448403E-2</v>
      </c>
      <c r="H108" s="153">
        <v>0.06</v>
      </c>
      <c r="I108" s="153">
        <f t="shared" si="3"/>
        <v>5.9999999999999995E-4</v>
      </c>
      <c r="J108" s="153">
        <f t="shared" si="4"/>
        <v>8.3224505161666865E-2</v>
      </c>
      <c r="K108" s="153">
        <f t="shared" si="5"/>
        <v>9.5494428294484027E-2</v>
      </c>
    </row>
    <row r="109" spans="2:11" ht="16" x14ac:dyDescent="0.2">
      <c r="B109" s="3">
        <v>42887</v>
      </c>
      <c r="C109" s="151">
        <v>6.53000403471551E-2</v>
      </c>
      <c r="D109" s="152">
        <v>-1.7069782536210699E-2</v>
      </c>
      <c r="E109" s="153">
        <v>2.4274881049010998E-2</v>
      </c>
      <c r="F109" s="153">
        <f>'Markowitz Model'!$I$4*C109+'Markowitz Model'!$J$4*D109+'Markowitz Model'!$K$4*E109</f>
        <v>-7.3093266178564298E-3</v>
      </c>
      <c r="G109" s="153">
        <f>'Markowitz Model'!$I$9*C109+'Markowitz Model'!$J$9*D109+'Markowitz Model'!$K$9*E109</f>
        <v>-1.7069782536210703E-2</v>
      </c>
      <c r="H109" s="153">
        <v>0.06</v>
      </c>
      <c r="I109" s="153">
        <f t="shared" si="3"/>
        <v>5.9999999999999995E-4</v>
      </c>
      <c r="J109" s="153">
        <f t="shared" si="4"/>
        <v>-7.9093266178564305E-3</v>
      </c>
      <c r="K109" s="153">
        <f t="shared" si="5"/>
        <v>-1.7669782536210703E-2</v>
      </c>
    </row>
    <row r="110" spans="2:11" ht="16" x14ac:dyDescent="0.2">
      <c r="B110" s="3">
        <v>42917</v>
      </c>
      <c r="C110" s="151">
        <v>2.2645574359139199E-2</v>
      </c>
      <c r="D110" s="152">
        <v>1.0338220182168E-2</v>
      </c>
      <c r="E110" s="153">
        <v>-3.3719129127056997E-2</v>
      </c>
      <c r="F110" s="153">
        <f>'Markowitz Model'!$I$4*C110+'Markowitz Model'!$J$4*D110+'Markowitz Model'!$K$4*E110</f>
        <v>-6.2633967385017017E-5</v>
      </c>
      <c r="G110" s="153">
        <f>'Markowitz Model'!$I$9*C110+'Markowitz Model'!$J$9*D110+'Markowitz Model'!$K$9*E110</f>
        <v>1.0338220182168002E-2</v>
      </c>
      <c r="H110" s="153">
        <v>7.0000000000000007E-2</v>
      </c>
      <c r="I110" s="153">
        <f t="shared" si="3"/>
        <v>7.000000000000001E-4</v>
      </c>
      <c r="J110" s="153">
        <f t="shared" si="4"/>
        <v>-7.6263396738501712E-4</v>
      </c>
      <c r="K110" s="153">
        <f t="shared" si="5"/>
        <v>9.6382201821680023E-3</v>
      </c>
    </row>
    <row r="111" spans="2:11" ht="16" x14ac:dyDescent="0.2">
      <c r="B111" s="3">
        <v>42948</v>
      </c>
      <c r="C111" s="151">
        <v>3.1956563728093398E-2</v>
      </c>
      <c r="D111" s="152">
        <v>8.2455260133727004E-2</v>
      </c>
      <c r="E111" s="153">
        <v>1.5657941215223799E-2</v>
      </c>
      <c r="F111" s="153">
        <f>'Markowitz Model'!$I$4*C111+'Markowitz Model'!$J$4*D111+'Markowitz Model'!$K$4*E111</f>
        <v>6.6686059704161929E-2</v>
      </c>
      <c r="G111" s="153">
        <f>'Markowitz Model'!$I$9*C111+'Markowitz Model'!$J$9*D111+'Markowitz Model'!$K$9*E111</f>
        <v>8.2455260133727018E-2</v>
      </c>
      <c r="H111" s="153">
        <v>0.09</v>
      </c>
      <c r="I111" s="153">
        <f t="shared" si="3"/>
        <v>8.9999999999999998E-4</v>
      </c>
      <c r="J111" s="153">
        <f t="shared" si="4"/>
        <v>6.5786059704161931E-2</v>
      </c>
      <c r="K111" s="153">
        <f t="shared" si="5"/>
        <v>8.155526013372702E-2</v>
      </c>
    </row>
    <row r="112" spans="2:11" ht="16" x14ac:dyDescent="0.2">
      <c r="B112" s="3">
        <v>42979</v>
      </c>
      <c r="C112" s="151">
        <v>-1.0473129391664899E-3</v>
      </c>
      <c r="D112" s="152">
        <v>-8.0346778270985499E-3</v>
      </c>
      <c r="E112" s="153">
        <v>3.3219271053044098E-2</v>
      </c>
      <c r="F112" s="153">
        <f>'Markowitz Model'!$I$4*C112+'Markowitz Model'!$J$4*D112+'Markowitz Model'!$K$4*E112</f>
        <v>1.7043625855219418E-3</v>
      </c>
      <c r="G112" s="153">
        <f>'Markowitz Model'!$I$9*C112+'Markowitz Model'!$J$9*D112+'Markowitz Model'!$K$9*E112</f>
        <v>-8.0346778270985516E-3</v>
      </c>
      <c r="H112" s="153">
        <v>0.09</v>
      </c>
      <c r="I112" s="153">
        <f t="shared" si="3"/>
        <v>8.9999999999999998E-4</v>
      </c>
      <c r="J112" s="153">
        <f t="shared" si="4"/>
        <v>8.0436258552194178E-4</v>
      </c>
      <c r="K112" s="153">
        <f t="shared" si="5"/>
        <v>-8.9346778270985514E-3</v>
      </c>
    </row>
    <row r="113" spans="2:11" ht="16" x14ac:dyDescent="0.2">
      <c r="B113" s="3">
        <v>43009</v>
      </c>
      <c r="C113" s="151">
        <v>2.8495380666536001E-2</v>
      </c>
      <c r="D113" s="152">
        <v>5.9657566003739497E-2</v>
      </c>
      <c r="E113" s="153">
        <v>9.6665201717916399E-2</v>
      </c>
      <c r="F113" s="153">
        <f>'Markowitz Model'!$I$4*C113+'Markowitz Model'!$J$4*D113+'Markowitz Model'!$K$4*E113</f>
        <v>6.8394156550333041E-2</v>
      </c>
      <c r="G113" s="153">
        <f>'Markowitz Model'!$I$9*C113+'Markowitz Model'!$J$9*D113+'Markowitz Model'!$K$9*E113</f>
        <v>5.9657566003739511E-2</v>
      </c>
      <c r="H113" s="153">
        <v>0.09</v>
      </c>
      <c r="I113" s="153">
        <f t="shared" si="3"/>
        <v>8.9999999999999998E-4</v>
      </c>
      <c r="J113" s="153">
        <f t="shared" si="4"/>
        <v>6.7494156550333043E-2</v>
      </c>
      <c r="K113" s="153">
        <f t="shared" si="5"/>
        <v>5.8757566003739513E-2</v>
      </c>
    </row>
    <row r="114" spans="2:11" ht="16" x14ac:dyDescent="0.2">
      <c r="B114" s="3">
        <v>43040</v>
      </c>
      <c r="C114" s="151">
        <v>-1.3500952895223199E-2</v>
      </c>
      <c r="D114" s="152">
        <v>1.9882832212397599E-2</v>
      </c>
      <c r="E114" s="153">
        <v>5.6257570426953001E-2</v>
      </c>
      <c r="F114" s="153">
        <f>'Markowitz Model'!$I$4*C114+'Markowitz Model'!$J$4*D114+'Markowitz Model'!$K$4*E114</f>
        <v>2.847001126037875E-2</v>
      </c>
      <c r="G114" s="153">
        <f>'Markowitz Model'!$I$9*C114+'Markowitz Model'!$J$9*D114+'Markowitz Model'!$K$9*E114</f>
        <v>1.9882832212397603E-2</v>
      </c>
      <c r="H114" s="153">
        <v>0.08</v>
      </c>
      <c r="I114" s="153">
        <f t="shared" si="3"/>
        <v>8.0000000000000004E-4</v>
      </c>
      <c r="J114" s="153">
        <f t="shared" si="4"/>
        <v>2.7670011260378751E-2</v>
      </c>
      <c r="K114" s="153">
        <f t="shared" si="5"/>
        <v>1.9082832212397604E-2</v>
      </c>
    </row>
    <row r="115" spans="2:11" ht="16" x14ac:dyDescent="0.2">
      <c r="B115" s="3">
        <v>43070</v>
      </c>
      <c r="C115" s="151">
        <v>-1.8257461652479299E-2</v>
      </c>
      <c r="D115" s="152">
        <v>-3.2784335243046199E-2</v>
      </c>
      <c r="E115" s="153">
        <v>-2.70733303745864E-2</v>
      </c>
      <c r="F115" s="153">
        <f>'Markowitz Model'!$I$4*C115+'Markowitz Model'!$J$4*D115+'Markowitz Model'!$K$4*E115</f>
        <v>-3.1436107770999901E-2</v>
      </c>
      <c r="G115" s="153">
        <f>'Markowitz Model'!$I$9*C115+'Markowitz Model'!$J$9*D115+'Markowitz Model'!$K$9*E115</f>
        <v>-3.2784335243046206E-2</v>
      </c>
      <c r="H115" s="153">
        <v>0.09</v>
      </c>
      <c r="I115" s="153">
        <f t="shared" si="3"/>
        <v>8.9999999999999998E-4</v>
      </c>
      <c r="J115" s="153">
        <f t="shared" si="4"/>
        <v>-3.2336107770999899E-2</v>
      </c>
      <c r="K115" s="153">
        <f t="shared" si="5"/>
        <v>-3.3684335243046204E-2</v>
      </c>
    </row>
    <row r="116" spans="2:11" ht="16" x14ac:dyDescent="0.2">
      <c r="B116" s="3">
        <v>43101</v>
      </c>
      <c r="C116" s="151">
        <v>-2.1474425306666201E-2</v>
      </c>
      <c r="D116" s="152">
        <v>9.8888738567252998E-2</v>
      </c>
      <c r="E116" s="153">
        <v>6.4282045141738103E-2</v>
      </c>
      <c r="F116" s="153">
        <f>'Markowitz Model'!$I$4*C116+'Markowitz Model'!$J$4*D116+'Markowitz Model'!$K$4*E116</f>
        <v>9.0718951311311372E-2</v>
      </c>
      <c r="G116" s="153">
        <f>'Markowitz Model'!$I$9*C116+'Markowitz Model'!$J$9*D116+'Markowitz Model'!$K$9*E116</f>
        <v>9.8888738567253026E-2</v>
      </c>
      <c r="H116" s="153">
        <v>0.11</v>
      </c>
      <c r="I116" s="153">
        <f t="shared" si="3"/>
        <v>1.1000000000000001E-3</v>
      </c>
      <c r="J116" s="153">
        <f t="shared" si="4"/>
        <v>8.9618951311311368E-2</v>
      </c>
      <c r="K116" s="153">
        <f t="shared" si="5"/>
        <v>9.7788738567253022E-2</v>
      </c>
    </row>
    <row r="117" spans="2:11" ht="16" x14ac:dyDescent="0.2">
      <c r="B117" s="3">
        <v>43132</v>
      </c>
      <c r="C117" s="151">
        <v>-5.6791107952328897E-2</v>
      </c>
      <c r="D117" s="152">
        <v>-6.5913111561504298E-2</v>
      </c>
      <c r="E117" s="153">
        <v>-5.9840572457783799E-2</v>
      </c>
      <c r="F117" s="153">
        <f>'Markowitz Model'!$I$4*C117+'Markowitz Model'!$J$4*D117+'Markowitz Model'!$K$4*E117</f>
        <v>-6.4479534768403207E-2</v>
      </c>
      <c r="G117" s="153">
        <f>'Markowitz Model'!$I$9*C117+'Markowitz Model'!$J$9*D117+'Markowitz Model'!$K$9*E117</f>
        <v>-6.5913111561504312E-2</v>
      </c>
      <c r="H117" s="153">
        <v>0.11</v>
      </c>
      <c r="I117" s="153">
        <f t="shared" si="3"/>
        <v>1.1000000000000001E-3</v>
      </c>
      <c r="J117" s="153">
        <f t="shared" si="4"/>
        <v>-6.5579534768403211E-2</v>
      </c>
      <c r="K117" s="153">
        <f t="shared" si="5"/>
        <v>-6.7013111561504315E-2</v>
      </c>
    </row>
    <row r="118" spans="2:11" ht="16" x14ac:dyDescent="0.2">
      <c r="B118" s="3">
        <v>43160</v>
      </c>
      <c r="C118" s="151">
        <v>-7.1761988080896497E-2</v>
      </c>
      <c r="D118" s="152">
        <v>-2.4639191191267701E-2</v>
      </c>
      <c r="E118" s="153">
        <v>-6.2399134818471799E-2</v>
      </c>
      <c r="F118" s="153">
        <f>'Markowitz Model'!$I$4*C118+'Markowitz Model'!$J$4*D118+'Markowitz Model'!$K$4*E118</f>
        <v>-3.3553383091588423E-2</v>
      </c>
      <c r="G118" s="153">
        <f>'Markowitz Model'!$I$9*C118+'Markowitz Model'!$J$9*D118+'Markowitz Model'!$K$9*E118</f>
        <v>-2.4639191191267708E-2</v>
      </c>
      <c r="H118" s="153">
        <v>0.12</v>
      </c>
      <c r="I118" s="153">
        <f t="shared" si="3"/>
        <v>1.1999999999999999E-3</v>
      </c>
      <c r="J118" s="153">
        <f t="shared" si="4"/>
        <v>-3.4753383091588423E-2</v>
      </c>
      <c r="K118" s="153">
        <f t="shared" si="5"/>
        <v>-2.5839191191267707E-2</v>
      </c>
    </row>
    <row r="119" spans="2:11" ht="16" x14ac:dyDescent="0.2">
      <c r="B119" s="3">
        <v>43191</v>
      </c>
      <c r="C119" s="151">
        <v>0.10772303843744099</v>
      </c>
      <c r="D119" s="152">
        <v>-1.7339240698036901E-2</v>
      </c>
      <c r="E119" s="153">
        <v>-0.114476880663531</v>
      </c>
      <c r="F119" s="153">
        <f>'Markowitz Model'!$I$4*C119+'Markowitz Model'!$J$4*D119+'Markowitz Model'!$K$4*E119</f>
        <v>-4.0271043031895215E-2</v>
      </c>
      <c r="G119" s="153">
        <f>'Markowitz Model'!$I$9*C119+'Markowitz Model'!$J$9*D119+'Markowitz Model'!$K$9*E119</f>
        <v>-1.7339240698036905E-2</v>
      </c>
      <c r="H119" s="153">
        <v>0.14000000000000001</v>
      </c>
      <c r="I119" s="153">
        <f t="shared" si="3"/>
        <v>1.4000000000000002E-3</v>
      </c>
      <c r="J119" s="153">
        <f t="shared" si="4"/>
        <v>-4.1671043031895214E-2</v>
      </c>
      <c r="K119" s="153">
        <f t="shared" si="5"/>
        <v>-1.8739240698036903E-2</v>
      </c>
    </row>
    <row r="120" spans="2:11" ht="16" x14ac:dyDescent="0.2">
      <c r="B120" s="3">
        <v>43221</v>
      </c>
      <c r="C120" s="151">
        <v>-5.0587151070113903E-3</v>
      </c>
      <c r="D120" s="152">
        <v>-5.6005285151305401E-2</v>
      </c>
      <c r="E120" s="153">
        <v>1.4609521389819E-2</v>
      </c>
      <c r="F120" s="153">
        <f>'Markowitz Model'!$I$4*C120+'Markowitz Model'!$J$4*D120+'Markowitz Model'!$K$4*E120</f>
        <v>-3.9334869995862713E-2</v>
      </c>
      <c r="G120" s="153">
        <f>'Markowitz Model'!$I$9*C120+'Markowitz Model'!$J$9*D120+'Markowitz Model'!$K$9*E120</f>
        <v>-5.6005285151305415E-2</v>
      </c>
      <c r="H120" s="153">
        <v>0.14000000000000001</v>
      </c>
      <c r="I120" s="153">
        <f t="shared" si="3"/>
        <v>1.4000000000000002E-3</v>
      </c>
      <c r="J120" s="153">
        <f t="shared" si="4"/>
        <v>-4.0734869995862712E-2</v>
      </c>
      <c r="K120" s="153">
        <f t="shared" si="5"/>
        <v>-5.7405285151305413E-2</v>
      </c>
    </row>
    <row r="121" spans="2:11" ht="16" x14ac:dyDescent="0.2">
      <c r="B121" s="3">
        <v>43252</v>
      </c>
      <c r="C121" s="151">
        <v>8.5327636666361305E-3</v>
      </c>
      <c r="D121" s="152">
        <v>-1.2917891644767001E-3</v>
      </c>
      <c r="E121" s="153">
        <v>4.23607274198479E-3</v>
      </c>
      <c r="F121" s="153">
        <f>'Markowitz Model'!$I$4*C121+'Markowitz Model'!$J$4*D121+'Markowitz Model'!$K$4*E121</f>
        <v>1.3202768751963264E-5</v>
      </c>
      <c r="G121" s="153">
        <f>'Markowitz Model'!$I$9*C121+'Markowitz Model'!$J$9*D121+'Markowitz Model'!$K$9*E121</f>
        <v>-1.2917891644767003E-3</v>
      </c>
      <c r="H121" s="153">
        <v>0.14000000000000001</v>
      </c>
      <c r="I121" s="153">
        <f t="shared" si="3"/>
        <v>1.4000000000000002E-3</v>
      </c>
      <c r="J121" s="153">
        <f t="shared" si="4"/>
        <v>-1.3867972312480369E-3</v>
      </c>
      <c r="K121" s="153">
        <f t="shared" si="5"/>
        <v>-2.6917891644767005E-3</v>
      </c>
    </row>
    <row r="122" spans="2:11" ht="16" x14ac:dyDescent="0.2">
      <c r="B122" s="3">
        <v>43282</v>
      </c>
      <c r="C122" s="151">
        <v>4.3583062704985402E-2</v>
      </c>
      <c r="D122" s="152">
        <v>6.7916828718831396E-2</v>
      </c>
      <c r="E122" s="153">
        <v>7.9300475366421694E-2</v>
      </c>
      <c r="F122" s="153">
        <f>'Markowitz Model'!$I$4*C122+'Markowitz Model'!$J$4*D122+'Markowitz Model'!$K$4*E122</f>
        <v>7.0604227083191112E-2</v>
      </c>
      <c r="G122" s="153">
        <f>'Markowitz Model'!$I$9*C122+'Markowitz Model'!$J$9*D122+'Markowitz Model'!$K$9*E122</f>
        <v>6.791682871883141E-2</v>
      </c>
      <c r="H122" s="153">
        <v>0.16</v>
      </c>
      <c r="I122" s="153">
        <f t="shared" si="3"/>
        <v>1.6000000000000001E-3</v>
      </c>
      <c r="J122" s="153">
        <f t="shared" si="4"/>
        <v>6.9004227083191108E-2</v>
      </c>
      <c r="K122" s="153">
        <f t="shared" si="5"/>
        <v>6.6316828718831405E-2</v>
      </c>
    </row>
    <row r="123" spans="2:11" ht="16" x14ac:dyDescent="0.2">
      <c r="B123" s="3">
        <v>43313</v>
      </c>
      <c r="C123" s="151">
        <v>4.0589463768117201E-2</v>
      </c>
      <c r="D123" s="152">
        <v>2.5183634614153402E-2</v>
      </c>
      <c r="E123" s="153">
        <v>-6.5937305212429003E-3</v>
      </c>
      <c r="F123" s="153">
        <f>'Markowitz Model'!$I$4*C123+'Markowitz Model'!$J$4*D123+'Markowitz Model'!$K$4*E123</f>
        <v>1.7681782024008056E-2</v>
      </c>
      <c r="G123" s="153">
        <f>'Markowitz Model'!$I$9*C123+'Markowitz Model'!$J$9*D123+'Markowitz Model'!$K$9*E123</f>
        <v>2.5183634614153409E-2</v>
      </c>
      <c r="H123" s="153">
        <v>0.16</v>
      </c>
      <c r="I123" s="153">
        <f t="shared" si="3"/>
        <v>1.6000000000000001E-3</v>
      </c>
      <c r="J123" s="153">
        <f t="shared" si="4"/>
        <v>1.6081782024008055E-2</v>
      </c>
      <c r="K123" s="153">
        <f t="shared" si="5"/>
        <v>2.3583634614153408E-2</v>
      </c>
    </row>
    <row r="124" spans="2:11" ht="16" x14ac:dyDescent="0.2">
      <c r="B124" s="3">
        <v>43344</v>
      </c>
      <c r="C124" s="151">
        <v>3.1332314531441897E-2</v>
      </c>
      <c r="D124" s="152">
        <v>4.4418155659399897E-2</v>
      </c>
      <c r="E124" s="153">
        <v>5.7005877207891896E-3</v>
      </c>
      <c r="F124" s="153">
        <f>'Markowitz Model'!$I$4*C124+'Markowitz Model'!$J$4*D124+'Markowitz Model'!$K$4*E124</f>
        <v>3.5277892264784359E-2</v>
      </c>
      <c r="G124" s="153">
        <f>'Markowitz Model'!$I$9*C124+'Markowitz Model'!$J$9*D124+'Markowitz Model'!$K$9*E124</f>
        <v>4.4418155659399904E-2</v>
      </c>
      <c r="H124" s="153">
        <v>0.15</v>
      </c>
      <c r="I124" s="153">
        <f t="shared" si="3"/>
        <v>1.5E-3</v>
      </c>
      <c r="J124" s="153">
        <f t="shared" si="4"/>
        <v>3.3777892264784358E-2</v>
      </c>
      <c r="K124" s="153">
        <f t="shared" si="5"/>
        <v>4.2918155659399902E-2</v>
      </c>
    </row>
    <row r="125" spans="2:11" ht="16" x14ac:dyDescent="0.2">
      <c r="B125" s="3">
        <v>43374</v>
      </c>
      <c r="C125" s="151">
        <v>-7.4974523724959897E-3</v>
      </c>
      <c r="D125" s="152">
        <v>-8.1513740877315805E-2</v>
      </c>
      <c r="E125" s="153">
        <v>-9.7052745371083896E-2</v>
      </c>
      <c r="F125" s="153">
        <f>'Markowitz Model'!$I$4*C125+'Markowitz Model'!$J$4*D125+'Markowitz Model'!$K$4*E125</f>
        <v>-8.5182116798767152E-2</v>
      </c>
      <c r="G125" s="153">
        <f>'Markowitz Model'!$I$9*C125+'Markowitz Model'!$J$9*D125+'Markowitz Model'!$K$9*E125</f>
        <v>-8.1513740877315818E-2</v>
      </c>
      <c r="H125" s="153">
        <v>0.19</v>
      </c>
      <c r="I125" s="153">
        <f t="shared" si="3"/>
        <v>1.9E-3</v>
      </c>
      <c r="J125" s="153">
        <f t="shared" si="4"/>
        <v>-8.7082116798767151E-2</v>
      </c>
      <c r="K125" s="153">
        <f t="shared" si="5"/>
        <v>-8.3413740877315817E-2</v>
      </c>
    </row>
    <row r="126" spans="2:11" ht="16" x14ac:dyDescent="0.2">
      <c r="B126" s="3">
        <v>43405</v>
      </c>
      <c r="C126" s="151">
        <v>-6.2650725714543706E-2</v>
      </c>
      <c r="D126" s="152">
        <v>0.11904825793217801</v>
      </c>
      <c r="E126" s="153">
        <v>9.2820146594205594E-2</v>
      </c>
      <c r="F126" s="153">
        <f>'Markowitz Model'!$I$4*C126+'Markowitz Model'!$J$4*D126+'Markowitz Model'!$K$4*E126</f>
        <v>0.11285644737340325</v>
      </c>
      <c r="G126" s="153">
        <f>'Markowitz Model'!$I$9*C126+'Markowitz Model'!$J$9*D126+'Markowitz Model'!$K$9*E126</f>
        <v>0.11904825793217803</v>
      </c>
      <c r="H126" s="153">
        <v>0.18</v>
      </c>
      <c r="I126" s="153">
        <f t="shared" si="3"/>
        <v>1.8E-3</v>
      </c>
      <c r="J126" s="153">
        <f t="shared" si="4"/>
        <v>0.11105644737340326</v>
      </c>
      <c r="K126" s="153">
        <f t="shared" si="5"/>
        <v>0.11724825793217804</v>
      </c>
    </row>
    <row r="127" spans="2:11" ht="16" x14ac:dyDescent="0.2">
      <c r="B127" s="3">
        <v>43435</v>
      </c>
      <c r="C127" s="151">
        <v>3.9554982228336297E-2</v>
      </c>
      <c r="D127" s="152">
        <v>-6.7588086747278994E-2</v>
      </c>
      <c r="E127" s="153">
        <v>-7.7331543065677202E-2</v>
      </c>
      <c r="F127" s="153">
        <f>'Markowitz Model'!$I$4*C127+'Markowitz Model'!$J$4*D127+'Markowitz Model'!$K$4*E127</f>
        <v>-6.9888276605931748E-2</v>
      </c>
      <c r="G127" s="153">
        <f>'Markowitz Model'!$I$9*C127+'Markowitz Model'!$J$9*D127+'Markowitz Model'!$K$9*E127</f>
        <v>-6.7588086747279008E-2</v>
      </c>
      <c r="H127" s="153">
        <v>0.19</v>
      </c>
      <c r="I127" s="153">
        <f t="shared" si="3"/>
        <v>1.9E-3</v>
      </c>
      <c r="J127" s="153">
        <f t="shared" si="4"/>
        <v>-7.1788276605931747E-2</v>
      </c>
      <c r="K127" s="153">
        <f t="shared" si="5"/>
        <v>-6.9488086747279007E-2</v>
      </c>
    </row>
    <row r="128" spans="2:11" ht="16" x14ac:dyDescent="0.2">
      <c r="B128" s="3">
        <v>43466</v>
      </c>
      <c r="C128" s="151">
        <v>1.25975742047879E-2</v>
      </c>
      <c r="D128" s="152">
        <v>0.13012287457815999</v>
      </c>
      <c r="E128" s="153">
        <v>5.1222613122441099E-2</v>
      </c>
      <c r="F128" s="153">
        <f>'Markowitz Model'!$I$4*C128+'Markowitz Model'!$J$4*D128+'Markowitz Model'!$K$4*E128</f>
        <v>0.11149646775548032</v>
      </c>
      <c r="G128" s="153">
        <f>'Markowitz Model'!$I$9*C128+'Markowitz Model'!$J$9*D128+'Markowitz Model'!$K$9*E128</f>
        <v>0.13012287457816002</v>
      </c>
      <c r="H128" s="153">
        <v>0.21</v>
      </c>
      <c r="I128" s="153">
        <f t="shared" si="3"/>
        <v>2.0999999999999999E-3</v>
      </c>
      <c r="J128" s="153">
        <f t="shared" si="4"/>
        <v>0.10939646775548031</v>
      </c>
      <c r="K128" s="153">
        <f t="shared" si="5"/>
        <v>0.12802287457816003</v>
      </c>
    </row>
    <row r="129" spans="2:11" ht="16" x14ac:dyDescent="0.2">
      <c r="B129" s="3">
        <v>43497</v>
      </c>
      <c r="C129" s="151">
        <v>1.9763369506085701E-2</v>
      </c>
      <c r="D129" s="152">
        <v>4.4576015221006397E-2</v>
      </c>
      <c r="E129" s="153">
        <v>3.5397127868266501E-2</v>
      </c>
      <c r="F129" s="153">
        <f>'Markowitz Model'!$I$4*C129+'Markowitz Model'!$J$4*D129+'Markowitz Model'!$K$4*E129</f>
        <v>4.2409106178409178E-2</v>
      </c>
      <c r="G129" s="153">
        <f>'Markowitz Model'!$I$9*C129+'Markowitz Model'!$J$9*D129+'Markowitz Model'!$K$9*E129</f>
        <v>4.4576015221006404E-2</v>
      </c>
      <c r="H129" s="153">
        <v>0.18</v>
      </c>
      <c r="I129" s="153">
        <f t="shared" si="3"/>
        <v>1.8E-3</v>
      </c>
      <c r="J129" s="153">
        <f t="shared" si="4"/>
        <v>4.0609106178409175E-2</v>
      </c>
      <c r="K129" s="153">
        <f t="shared" si="5"/>
        <v>4.2776015221006401E-2</v>
      </c>
    </row>
    <row r="130" spans="2:11" ht="16" x14ac:dyDescent="0.2">
      <c r="B130" s="3">
        <v>43525</v>
      </c>
      <c r="C130" s="151">
        <v>2.42361536177753E-2</v>
      </c>
      <c r="D130" s="152">
        <v>1.1832459983175401E-2</v>
      </c>
      <c r="E130" s="153">
        <v>8.8071319097662304E-3</v>
      </c>
      <c r="F130" s="153">
        <f>'Markowitz Model'!$I$4*C130+'Markowitz Model'!$J$4*D130+'Markowitz Model'!$K$4*E130</f>
        <v>1.1118254599977544E-2</v>
      </c>
      <c r="G130" s="153">
        <f>'Markowitz Model'!$I$9*C130+'Markowitz Model'!$J$9*D130+'Markowitz Model'!$K$9*E130</f>
        <v>1.1832459983175404E-2</v>
      </c>
      <c r="H130" s="153">
        <v>0.19</v>
      </c>
      <c r="I130" s="153">
        <f t="shared" si="3"/>
        <v>1.9E-3</v>
      </c>
      <c r="J130" s="153">
        <f t="shared" si="4"/>
        <v>9.2182545999775437E-3</v>
      </c>
      <c r="K130" s="153">
        <f t="shared" si="5"/>
        <v>9.9324599831754033E-3</v>
      </c>
    </row>
    <row r="131" spans="2:11" ht="16" x14ac:dyDescent="0.2">
      <c r="B131" s="3">
        <v>43556</v>
      </c>
      <c r="C131" s="151">
        <v>-1.9789409716294001E-2</v>
      </c>
      <c r="D131" s="152">
        <v>-2.3388877985532901E-2</v>
      </c>
      <c r="E131" s="153">
        <v>-8.7929550754050401E-2</v>
      </c>
      <c r="F131" s="153">
        <f>'Markowitz Model'!$I$4*C131+'Markowitz Model'!$J$4*D131+'Markowitz Model'!$K$4*E131</f>
        <v>-3.8625339885859325E-2</v>
      </c>
      <c r="G131" s="153">
        <f>'Markowitz Model'!$I$9*C131+'Markowitz Model'!$J$9*D131+'Markowitz Model'!$K$9*E131</f>
        <v>-2.3388877985532904E-2</v>
      </c>
      <c r="H131" s="153">
        <v>0.21</v>
      </c>
      <c r="I131" s="153">
        <f t="shared" si="3"/>
        <v>2.0999999999999999E-3</v>
      </c>
      <c r="J131" s="153">
        <f t="shared" si="4"/>
        <v>-4.0725339885859323E-2</v>
      </c>
      <c r="K131" s="153">
        <f t="shared" si="5"/>
        <v>-2.5488877985532905E-2</v>
      </c>
    </row>
    <row r="132" spans="2:11" ht="16" x14ac:dyDescent="0.2">
      <c r="B132" s="3">
        <v>43586</v>
      </c>
      <c r="C132" s="151">
        <v>2.8467166850427699E-3</v>
      </c>
      <c r="D132" s="152">
        <v>-0.14411328179459801</v>
      </c>
      <c r="E132" s="153">
        <v>-0.15703639868966901</v>
      </c>
      <c r="F132" s="153">
        <f>'Markowitz Model'!$I$4*C132+'Markowitz Model'!$J$4*D132+'Markowitz Model'!$K$4*E132</f>
        <v>-0.14716411113614253</v>
      </c>
      <c r="G132" s="153">
        <f>'Markowitz Model'!$I$9*C132+'Markowitz Model'!$J$9*D132+'Markowitz Model'!$K$9*E132</f>
        <v>-0.14411328179459804</v>
      </c>
      <c r="H132" s="153">
        <v>0.21</v>
      </c>
      <c r="I132" s="153">
        <f t="shared" ref="I132:I195" si="6">H132/100</f>
        <v>2.0999999999999999E-3</v>
      </c>
      <c r="J132" s="153">
        <f t="shared" ref="J132:J195" si="7">F132-I132</f>
        <v>-0.14926411113614252</v>
      </c>
      <c r="K132" s="153">
        <f t="shared" ref="K132:K195" si="8">G132-I132</f>
        <v>-0.14621328179459803</v>
      </c>
    </row>
    <row r="133" spans="2:11" ht="16" x14ac:dyDescent="0.2">
      <c r="B133" s="3">
        <v>43617</v>
      </c>
      <c r="C133" s="151">
        <v>7.0682309562846201E-3</v>
      </c>
      <c r="D133" s="152">
        <v>0.113646139215412</v>
      </c>
      <c r="E133" s="153">
        <v>9.4354497305954702E-2</v>
      </c>
      <c r="F133" s="153">
        <f>'Markowitz Model'!$I$4*C133+'Markowitz Model'!$J$4*D133+'Markowitz Model'!$K$4*E133</f>
        <v>0.10909185810336935</v>
      </c>
      <c r="G133" s="153">
        <f>'Markowitz Model'!$I$9*C133+'Markowitz Model'!$J$9*D133+'Markowitz Model'!$K$9*E133</f>
        <v>0.11364613921541203</v>
      </c>
      <c r="H133" s="153">
        <v>0.18</v>
      </c>
      <c r="I133" s="153">
        <f t="shared" si="6"/>
        <v>1.8E-3</v>
      </c>
      <c r="J133" s="153">
        <f t="shared" si="7"/>
        <v>0.10729185810336936</v>
      </c>
      <c r="K133" s="153">
        <f t="shared" si="8"/>
        <v>0.11184613921541203</v>
      </c>
    </row>
    <row r="134" spans="2:11" ht="16" x14ac:dyDescent="0.2">
      <c r="B134" s="3">
        <v>43647</v>
      </c>
      <c r="C134" s="151">
        <v>5.0428096466868903E-2</v>
      </c>
      <c r="D134" s="152">
        <v>-7.0443442642874401E-2</v>
      </c>
      <c r="E134" s="153">
        <v>7.9611025046757398E-3</v>
      </c>
      <c r="F134" s="153">
        <f>'Markowitz Model'!$I$4*C134+'Markowitz Model'!$J$4*D134+'Markowitz Model'!$K$4*E134</f>
        <v>-5.1934062221048523E-2</v>
      </c>
      <c r="G134" s="153">
        <f>'Markowitz Model'!$I$9*C134+'Markowitz Model'!$J$9*D134+'Markowitz Model'!$K$9*E134</f>
        <v>-7.0443442642874415E-2</v>
      </c>
      <c r="H134" s="153">
        <v>0.19</v>
      </c>
      <c r="I134" s="153">
        <f t="shared" si="6"/>
        <v>1.9E-3</v>
      </c>
      <c r="J134" s="153">
        <f t="shared" si="7"/>
        <v>-5.3834062221048522E-2</v>
      </c>
      <c r="K134" s="153">
        <f t="shared" si="8"/>
        <v>-7.2343442642874414E-2</v>
      </c>
    </row>
    <row r="135" spans="2:11" ht="16" x14ac:dyDescent="0.2">
      <c r="B135" s="3">
        <v>43678</v>
      </c>
      <c r="C135" s="151">
        <v>1.10606487650415E-2</v>
      </c>
      <c r="D135" s="152">
        <v>2.6747232632787301E-2</v>
      </c>
      <c r="E135" s="153">
        <v>-7.4405004336230707E-2</v>
      </c>
      <c r="F135" s="153">
        <f>'Markowitz Model'!$I$4*C135+'Markowitz Model'!$J$4*D135+'Markowitz Model'!$K$4*E135</f>
        <v>2.8676829070054047E-3</v>
      </c>
      <c r="G135" s="153">
        <f>'Markowitz Model'!$I$9*C135+'Markowitz Model'!$J$9*D135+'Markowitz Model'!$K$9*E135</f>
        <v>2.6747232632787308E-2</v>
      </c>
      <c r="H135" s="153">
        <v>0.16</v>
      </c>
      <c r="I135" s="153">
        <f t="shared" si="6"/>
        <v>1.6000000000000001E-3</v>
      </c>
      <c r="J135" s="153">
        <f t="shared" si="7"/>
        <v>1.2676829070054046E-3</v>
      </c>
      <c r="K135" s="153">
        <f t="shared" si="8"/>
        <v>2.5147232632787307E-2</v>
      </c>
    </row>
    <row r="136" spans="2:11" ht="16" x14ac:dyDescent="0.2">
      <c r="B136" s="3">
        <v>43709</v>
      </c>
      <c r="C136" s="151">
        <v>3.5987723982872998E-2</v>
      </c>
      <c r="D136" s="152">
        <v>7.76263059165649E-2</v>
      </c>
      <c r="E136" s="153">
        <v>2.5874036054800702E-2</v>
      </c>
      <c r="F136" s="153">
        <f>'Markowitz Model'!$I$4*C136+'Markowitz Model'!$J$4*D136+'Markowitz Model'!$K$4*E136</f>
        <v>6.5408870705867567E-2</v>
      </c>
      <c r="G136" s="153">
        <f>'Markowitz Model'!$I$9*C136+'Markowitz Model'!$J$9*D136+'Markowitz Model'!$K$9*E136</f>
        <v>7.7626305916564914E-2</v>
      </c>
      <c r="H136" s="153">
        <v>0.18</v>
      </c>
      <c r="I136" s="153">
        <f t="shared" si="6"/>
        <v>1.8E-3</v>
      </c>
      <c r="J136" s="153">
        <f t="shared" si="7"/>
        <v>6.3608870705867571E-2</v>
      </c>
      <c r="K136" s="153">
        <f t="shared" si="8"/>
        <v>7.5826305916564918E-2</v>
      </c>
    </row>
    <row r="137" spans="2:11" ht="16" x14ac:dyDescent="0.2">
      <c r="B137" s="3">
        <v>43739</v>
      </c>
      <c r="C137" s="151">
        <v>1.8085767779889999E-2</v>
      </c>
      <c r="D137" s="152">
        <v>-9.3570295626789202E-3</v>
      </c>
      <c r="E137" s="153">
        <v>3.5888734010223202E-3</v>
      </c>
      <c r="F137" s="153">
        <f>'Markowitz Model'!$I$4*C137+'Markowitz Model'!$J$4*D137+'Markowitz Model'!$K$4*E137</f>
        <v>-6.3008209920119339E-3</v>
      </c>
      <c r="G137" s="153">
        <f>'Markowitz Model'!$I$9*C137+'Markowitz Model'!$J$9*D137+'Markowitz Model'!$K$9*E137</f>
        <v>-9.3570295626789219E-3</v>
      </c>
      <c r="H137" s="153">
        <v>0.15</v>
      </c>
      <c r="I137" s="153">
        <f t="shared" si="6"/>
        <v>1.5E-3</v>
      </c>
      <c r="J137" s="153">
        <f t="shared" si="7"/>
        <v>-7.8008209920119344E-3</v>
      </c>
      <c r="K137" s="153">
        <f t="shared" si="8"/>
        <v>-1.0857029562678921E-2</v>
      </c>
    </row>
    <row r="138" spans="2:11" ht="16" x14ac:dyDescent="0.2">
      <c r="B138" s="3">
        <v>43770</v>
      </c>
      <c r="C138" s="151">
        <v>2.07628116830578E-2</v>
      </c>
      <c r="D138" s="152">
        <v>6.6270575133188001E-2</v>
      </c>
      <c r="E138" s="153">
        <v>2.8971495727247599E-2</v>
      </c>
      <c r="F138" s="153">
        <f>'Markowitz Model'!$I$4*C138+'Markowitz Model'!$J$4*D138+'Markowitz Model'!$K$4*E138</f>
        <v>5.7465181915113663E-2</v>
      </c>
      <c r="G138" s="153">
        <f>'Markowitz Model'!$I$9*C138+'Markowitz Model'!$J$9*D138+'Markowitz Model'!$K$9*E138</f>
        <v>6.6270575133188014E-2</v>
      </c>
      <c r="H138" s="153">
        <v>0.12</v>
      </c>
      <c r="I138" s="153">
        <f t="shared" si="6"/>
        <v>1.1999999999999999E-3</v>
      </c>
      <c r="J138" s="153">
        <f t="shared" si="7"/>
        <v>5.6265181915113663E-2</v>
      </c>
      <c r="K138" s="153">
        <f t="shared" si="8"/>
        <v>6.5070575133188008E-2</v>
      </c>
    </row>
    <row r="139" spans="2:11" ht="16" x14ac:dyDescent="0.2">
      <c r="B139" s="3">
        <v>43800</v>
      </c>
      <c r="C139" s="151">
        <v>-1.49993015955808E-2</v>
      </c>
      <c r="D139" s="152">
        <v>5.6209043776723797E-2</v>
      </c>
      <c r="E139" s="153">
        <v>4.8167150859952199E-2</v>
      </c>
      <c r="F139" s="153">
        <f>'Markowitz Model'!$I$4*C139+'Markowitz Model'!$J$4*D139+'Markowitz Model'!$K$4*E139</f>
        <v>5.4310551093321474E-2</v>
      </c>
      <c r="G139" s="153">
        <f>'Markowitz Model'!$I$9*C139+'Markowitz Model'!$J$9*D139+'Markowitz Model'!$K$9*E139</f>
        <v>5.620904377672381E-2</v>
      </c>
      <c r="H139" s="153">
        <v>0.14000000000000001</v>
      </c>
      <c r="I139" s="153">
        <f t="shared" si="6"/>
        <v>1.4000000000000002E-3</v>
      </c>
      <c r="J139" s="153">
        <f t="shared" si="7"/>
        <v>5.2910551093321476E-2</v>
      </c>
      <c r="K139" s="153">
        <f t="shared" si="8"/>
        <v>5.4809043776723812E-2</v>
      </c>
    </row>
    <row r="140" spans="2:11" ht="16" x14ac:dyDescent="0.2">
      <c r="B140" s="3">
        <v>43831</v>
      </c>
      <c r="C140" s="151">
        <v>4.9462079913085398E-2</v>
      </c>
      <c r="D140" s="152">
        <v>-3.01915280484613E-2</v>
      </c>
      <c r="E140" s="153">
        <v>-0.10066891631908299</v>
      </c>
      <c r="F140" s="153">
        <f>'Markowitz Model'!$I$4*C140+'Markowitz Model'!$J$4*D140+'Markowitz Model'!$K$4*E140</f>
        <v>-4.6829502137625809E-2</v>
      </c>
      <c r="G140" s="153">
        <f>'Markowitz Model'!$I$9*C140+'Markowitz Model'!$J$9*D140+'Markowitz Model'!$K$9*E140</f>
        <v>-3.0191528048461307E-2</v>
      </c>
      <c r="H140" s="153">
        <v>0.13</v>
      </c>
      <c r="I140" s="153">
        <f t="shared" si="6"/>
        <v>1.2999999999999999E-3</v>
      </c>
      <c r="J140" s="153">
        <f t="shared" si="7"/>
        <v>-4.8129502137625811E-2</v>
      </c>
      <c r="K140" s="153">
        <f t="shared" si="8"/>
        <v>-3.1491528048461309E-2</v>
      </c>
    </row>
    <row r="141" spans="2:11" ht="16" x14ac:dyDescent="0.2">
      <c r="B141" s="3">
        <v>43862</v>
      </c>
      <c r="C141" s="151">
        <v>-3.1298019479343998E-2</v>
      </c>
      <c r="D141" s="152">
        <v>-6.6497110890036001E-2</v>
      </c>
      <c r="E141" s="153">
        <v>-5.9371978927181303E-2</v>
      </c>
      <c r="F141" s="153">
        <f>'Markowitz Model'!$I$4*C141+'Markowitz Model'!$J$4*D141+'Markowitz Model'!$K$4*E141</f>
        <v>-6.4815042869515019E-2</v>
      </c>
      <c r="G141" s="153">
        <f>'Markowitz Model'!$I$9*C141+'Markowitz Model'!$J$9*D141+'Markowitz Model'!$K$9*E141</f>
        <v>-6.6497110890036015E-2</v>
      </c>
      <c r="H141" s="153">
        <v>0.12</v>
      </c>
      <c r="I141" s="153">
        <f t="shared" si="6"/>
        <v>1.1999999999999999E-3</v>
      </c>
      <c r="J141" s="153">
        <f t="shared" si="7"/>
        <v>-6.6015042869515025E-2</v>
      </c>
      <c r="K141" s="153">
        <f t="shared" si="8"/>
        <v>-6.7697110890036022E-2</v>
      </c>
    </row>
    <row r="142" spans="2:11" ht="16" x14ac:dyDescent="0.2">
      <c r="B142" s="3">
        <v>43891</v>
      </c>
      <c r="C142" s="151">
        <v>2.9749523259195301E-2</v>
      </c>
      <c r="D142" s="152">
        <v>-7.0714872217536806E-2</v>
      </c>
      <c r="E142" s="153">
        <v>-7.7015842608286103E-2</v>
      </c>
      <c r="F142" s="153">
        <f>'Markowitz Model'!$I$4*C142+'Markowitz Model'!$J$4*D142+'Markowitz Model'!$K$4*E142</f>
        <v>-7.220237600662914E-2</v>
      </c>
      <c r="G142" s="153">
        <f>'Markowitz Model'!$I$9*C142+'Markowitz Model'!$J$9*D142+'Markowitz Model'!$K$9*E142</f>
        <v>-7.071487221753682E-2</v>
      </c>
      <c r="H142" s="153">
        <v>0.12</v>
      </c>
      <c r="I142" s="153">
        <f t="shared" si="6"/>
        <v>1.1999999999999999E-3</v>
      </c>
      <c r="J142" s="153">
        <f t="shared" si="7"/>
        <v>-7.3402376006629147E-2</v>
      </c>
      <c r="K142" s="153">
        <f t="shared" si="8"/>
        <v>-7.1914872217536827E-2</v>
      </c>
    </row>
    <row r="143" spans="2:11" ht="16" x14ac:dyDescent="0.2">
      <c r="B143" s="3">
        <v>43922</v>
      </c>
      <c r="C143" s="151">
        <v>4.4595752761944697E-2</v>
      </c>
      <c r="D143" s="152">
        <v>7.3094943708744003E-2</v>
      </c>
      <c r="E143" s="153">
        <v>0.11288553774658</v>
      </c>
      <c r="F143" s="153">
        <f>'Markowitz Model'!$I$4*C143+'Markowitz Model'!$J$4*D143+'Markowitz Model'!$K$4*E143</f>
        <v>8.2488522115081564E-2</v>
      </c>
      <c r="G143" s="153">
        <f>'Markowitz Model'!$I$9*C143+'Markowitz Model'!$J$9*D143+'Markowitz Model'!$K$9*E143</f>
        <v>7.3094943708744017E-2</v>
      </c>
      <c r="H143" s="153">
        <v>0</v>
      </c>
      <c r="I143" s="153">
        <f t="shared" si="6"/>
        <v>0</v>
      </c>
      <c r="J143" s="153">
        <f t="shared" si="7"/>
        <v>8.2488522115081564E-2</v>
      </c>
      <c r="K143" s="153">
        <f t="shared" si="8"/>
        <v>7.3094943708744017E-2</v>
      </c>
    </row>
    <row r="144" spans="2:11" ht="16" x14ac:dyDescent="0.2">
      <c r="B144" s="3">
        <v>43952</v>
      </c>
      <c r="C144" s="151">
        <v>2.8049471367328702E-2</v>
      </c>
      <c r="D144" s="152">
        <v>0.149752390560349</v>
      </c>
      <c r="E144" s="153">
        <v>2.9752559933820401E-2</v>
      </c>
      <c r="F144" s="153">
        <f>'Markowitz Model'!$I$4*C144+'Markowitz Model'!$J$4*D144+'Markowitz Model'!$K$4*E144</f>
        <v>0.12142338856893203</v>
      </c>
      <c r="G144" s="153">
        <f>'Markowitz Model'!$I$9*C144+'Markowitz Model'!$J$9*D144+'Markowitz Model'!$K$9*E144</f>
        <v>0.14975239056034903</v>
      </c>
      <c r="H144" s="153">
        <v>0.01</v>
      </c>
      <c r="I144" s="153">
        <f t="shared" si="6"/>
        <v>1E-4</v>
      </c>
      <c r="J144" s="153">
        <f t="shared" si="7"/>
        <v>0.12132338856893203</v>
      </c>
      <c r="K144" s="153">
        <f t="shared" si="8"/>
        <v>0.14965239056034904</v>
      </c>
    </row>
    <row r="145" spans="2:11" ht="16" x14ac:dyDescent="0.2">
      <c r="B145" s="3">
        <v>43983</v>
      </c>
      <c r="C145" s="151">
        <v>2.3562791975446001E-2</v>
      </c>
      <c r="D145" s="152">
        <v>2.60947951465074E-3</v>
      </c>
      <c r="E145" s="153">
        <v>7.0133865105306298E-3</v>
      </c>
      <c r="F145" s="153">
        <f>'Markowitz Model'!$I$4*C145+'Markowitz Model'!$J$4*D145+'Markowitz Model'!$K$4*E145</f>
        <v>3.6491333992014425E-3</v>
      </c>
      <c r="G145" s="153">
        <f>'Markowitz Model'!$I$9*C145+'Markowitz Model'!$J$9*D145+'Markowitz Model'!$K$9*E145</f>
        <v>2.6094795146507405E-3</v>
      </c>
      <c r="H145" s="153">
        <v>0.01</v>
      </c>
      <c r="I145" s="153">
        <f t="shared" si="6"/>
        <v>1E-4</v>
      </c>
      <c r="J145" s="153">
        <f t="shared" si="7"/>
        <v>3.5491333992014426E-3</v>
      </c>
      <c r="K145" s="153">
        <f t="shared" si="8"/>
        <v>2.5094795146507407E-3</v>
      </c>
    </row>
    <row r="146" spans="2:11" ht="16" x14ac:dyDescent="0.2">
      <c r="B146" s="3">
        <v>44013</v>
      </c>
      <c r="C146" s="151">
        <v>-3.5582905955811601E-2</v>
      </c>
      <c r="D146" s="152">
        <v>9.23649318791782E-2</v>
      </c>
      <c r="E146" s="153">
        <v>-3.5387089841794103E-2</v>
      </c>
      <c r="F146" s="153">
        <f>'Markowitz Model'!$I$4*C146+'Markowitz Model'!$J$4*D146+'Markowitz Model'!$K$4*E146</f>
        <v>6.2205828663403406E-2</v>
      </c>
      <c r="G146" s="153">
        <f>'Markowitz Model'!$I$9*C146+'Markowitz Model'!$J$9*D146+'Markowitz Model'!$K$9*E146</f>
        <v>9.2364931879178214E-2</v>
      </c>
      <c r="H146" s="153">
        <v>0.01</v>
      </c>
      <c r="I146" s="153">
        <f t="shared" si="6"/>
        <v>1E-4</v>
      </c>
      <c r="J146" s="153">
        <f t="shared" si="7"/>
        <v>6.2105828663403403E-2</v>
      </c>
      <c r="K146" s="153">
        <f t="shared" si="8"/>
        <v>9.2264931879178211E-2</v>
      </c>
    </row>
    <row r="147" spans="2:11" ht="16" x14ac:dyDescent="0.2">
      <c r="B147" s="3">
        <v>44044</v>
      </c>
      <c r="C147" s="151">
        <v>4.3117030178161597E-2</v>
      </c>
      <c r="D147" s="152">
        <v>4.2458300499080601E-2</v>
      </c>
      <c r="E147" s="153">
        <v>8.3405625583387294E-2</v>
      </c>
      <c r="F147" s="153">
        <f>'Markowitz Model'!$I$4*C147+'Markowitz Model'!$J$4*D147+'Markowitz Model'!$K$4*E147</f>
        <v>5.2124954591841313E-2</v>
      </c>
      <c r="G147" s="153">
        <f>'Markowitz Model'!$I$9*C147+'Markowitz Model'!$J$9*D147+'Markowitz Model'!$K$9*E147</f>
        <v>4.2458300499080608E-2</v>
      </c>
      <c r="H147" s="153">
        <v>0.01</v>
      </c>
      <c r="I147" s="153">
        <f t="shared" si="6"/>
        <v>1E-4</v>
      </c>
      <c r="J147" s="153">
        <f t="shared" si="7"/>
        <v>5.202495459184131E-2</v>
      </c>
      <c r="K147" s="153">
        <f t="shared" si="8"/>
        <v>4.2358300499080605E-2</v>
      </c>
    </row>
    <row r="148" spans="2:11" ht="16" x14ac:dyDescent="0.2">
      <c r="B148" s="3">
        <v>44075</v>
      </c>
      <c r="C148" s="151">
        <v>6.9321654182270499E-3</v>
      </c>
      <c r="D148" s="152">
        <v>5.1781766481013803E-3</v>
      </c>
      <c r="E148" s="153">
        <v>-8.4778344868894403E-3</v>
      </c>
      <c r="F148" s="153">
        <f>'Markowitz Model'!$I$4*C148+'Markowitz Model'!$J$4*D148+'Markowitz Model'!$K$4*E148</f>
        <v>1.9543290424994817E-3</v>
      </c>
      <c r="G148" s="153">
        <f>'Markowitz Model'!$I$9*C148+'Markowitz Model'!$J$9*D148+'Markowitz Model'!$K$9*E148</f>
        <v>5.1781766481013812E-3</v>
      </c>
      <c r="H148" s="153">
        <v>0.01</v>
      </c>
      <c r="I148" s="153">
        <f t="shared" si="6"/>
        <v>1E-4</v>
      </c>
      <c r="J148" s="153">
        <f t="shared" si="7"/>
        <v>1.8543290424994816E-3</v>
      </c>
      <c r="K148" s="153">
        <f t="shared" si="8"/>
        <v>5.0781766481013809E-3</v>
      </c>
    </row>
    <row r="149" spans="2:11" ht="16" x14ac:dyDescent="0.2">
      <c r="B149" s="3">
        <v>44105</v>
      </c>
      <c r="C149" s="151">
        <v>6.2007891534141503E-3</v>
      </c>
      <c r="D149" s="152">
        <v>1.1392901361139801E-2</v>
      </c>
      <c r="E149" s="153">
        <v>-1.37321071771601E-3</v>
      </c>
      <c r="F149" s="153">
        <f>'Markowitz Model'!$I$4*C149+'Markowitz Model'!$J$4*D149+'Markowitz Model'!$K$4*E149</f>
        <v>8.3791369865040301E-3</v>
      </c>
      <c r="G149" s="153">
        <f>'Markowitz Model'!$I$9*C149+'Markowitz Model'!$J$9*D149+'Markowitz Model'!$K$9*E149</f>
        <v>1.1392901361139803E-2</v>
      </c>
      <c r="H149" s="153">
        <v>0.01</v>
      </c>
      <c r="I149" s="153">
        <f t="shared" si="6"/>
        <v>1E-4</v>
      </c>
      <c r="J149" s="153">
        <f t="shared" si="7"/>
        <v>8.2791369865040307E-3</v>
      </c>
      <c r="K149" s="153">
        <f t="shared" si="8"/>
        <v>1.1292901361139803E-2</v>
      </c>
    </row>
    <row r="150" spans="2:11" ht="16" x14ac:dyDescent="0.2">
      <c r="B150" s="3">
        <v>44136</v>
      </c>
      <c r="C150" s="151">
        <v>2.1030280073280401E-2</v>
      </c>
      <c r="D150" s="152">
        <v>0.14713287439082201</v>
      </c>
      <c r="E150" s="153">
        <v>7.9832478043740301E-2</v>
      </c>
      <c r="F150" s="153">
        <f>'Markowitz Model'!$I$4*C150+'Markowitz Model'!$J$4*D150+'Markowitz Model'!$K$4*E150</f>
        <v>0.13124490978132747</v>
      </c>
      <c r="G150" s="153">
        <f>'Markowitz Model'!$I$9*C150+'Markowitz Model'!$J$9*D150+'Markowitz Model'!$K$9*E150</f>
        <v>0.14713287439082204</v>
      </c>
      <c r="H150" s="153">
        <v>0.01</v>
      </c>
      <c r="I150" s="153">
        <f t="shared" si="6"/>
        <v>1E-4</v>
      </c>
      <c r="J150" s="153">
        <f t="shared" si="7"/>
        <v>0.13114490978132748</v>
      </c>
      <c r="K150" s="153">
        <f t="shared" si="8"/>
        <v>0.14703287439082205</v>
      </c>
    </row>
    <row r="151" spans="2:11" ht="16" x14ac:dyDescent="0.2">
      <c r="B151" s="3">
        <v>44166</v>
      </c>
      <c r="C151" s="151">
        <v>1.9058331749470098E-2</v>
      </c>
      <c r="D151" s="152">
        <v>1.36012756939374E-2</v>
      </c>
      <c r="E151" s="153">
        <v>2.0680168517551299E-2</v>
      </c>
      <c r="F151" s="153">
        <f>'Markowitz Model'!$I$4*C151+'Markowitz Model'!$J$4*D151+'Markowitz Model'!$K$4*E151</f>
        <v>1.5272427793487555E-2</v>
      </c>
      <c r="G151" s="153">
        <f>'Markowitz Model'!$I$9*C151+'Markowitz Model'!$J$9*D151+'Markowitz Model'!$K$9*E151</f>
        <v>1.3601275693937404E-2</v>
      </c>
      <c r="H151" s="153">
        <v>0.01</v>
      </c>
      <c r="I151" s="153">
        <f t="shared" si="6"/>
        <v>1E-4</v>
      </c>
      <c r="J151" s="153">
        <f t="shared" si="7"/>
        <v>1.5172427793487556E-2</v>
      </c>
      <c r="K151" s="153">
        <f t="shared" si="8"/>
        <v>1.3501275693937404E-2</v>
      </c>
    </row>
    <row r="152" spans="2:11" ht="16" x14ac:dyDescent="0.2">
      <c r="B152" s="3">
        <v>44197</v>
      </c>
      <c r="C152" s="151">
        <v>-1.5079830845342399E-2</v>
      </c>
      <c r="D152" s="152">
        <v>1.41782946717568E-2</v>
      </c>
      <c r="E152" s="153">
        <v>4.9771071943283101E-3</v>
      </c>
      <c r="F152" s="153">
        <f>'Markowitz Model'!$I$4*C152+'Markowitz Model'!$J$4*D152+'Markowitz Model'!$K$4*E152</f>
        <v>1.2006121119423072E-2</v>
      </c>
      <c r="G152" s="153">
        <f>'Markowitz Model'!$I$9*C152+'Markowitz Model'!$J$9*D152+'Markowitz Model'!$K$9*E152</f>
        <v>1.4178294671756804E-2</v>
      </c>
      <c r="H152" s="153">
        <v>0</v>
      </c>
      <c r="I152" s="153">
        <f t="shared" si="6"/>
        <v>0</v>
      </c>
      <c r="J152" s="153">
        <f t="shared" si="7"/>
        <v>1.2006121119423072E-2</v>
      </c>
      <c r="K152" s="153">
        <f t="shared" si="8"/>
        <v>1.4178294671756804E-2</v>
      </c>
    </row>
    <row r="153" spans="2:11" ht="16" x14ac:dyDescent="0.2">
      <c r="B153" s="3">
        <v>44228</v>
      </c>
      <c r="C153" s="151">
        <v>3.7655295579825297E-2</v>
      </c>
      <c r="D153" s="152">
        <v>1.74768253735549E-2</v>
      </c>
      <c r="E153" s="153">
        <v>-3.41585730661564E-3</v>
      </c>
      <c r="F153" s="153">
        <f>'Markowitz Model'!$I$4*C153+'Markowitz Model'!$J$4*D153+'Markowitz Model'!$K$4*E153</f>
        <v>1.2544578001517788E-2</v>
      </c>
      <c r="G153" s="153">
        <f>'Markowitz Model'!$I$9*C153+'Markowitz Model'!$J$9*D153+'Markowitz Model'!$K$9*E153</f>
        <v>1.7476825373554904E-2</v>
      </c>
      <c r="H153" s="153">
        <v>0</v>
      </c>
      <c r="I153" s="153">
        <f t="shared" si="6"/>
        <v>0</v>
      </c>
      <c r="J153" s="153">
        <f t="shared" si="7"/>
        <v>1.2544578001517788E-2</v>
      </c>
      <c r="K153" s="153">
        <f t="shared" si="8"/>
        <v>1.7476825373554904E-2</v>
      </c>
    </row>
    <row r="154" spans="2:11" ht="16" x14ac:dyDescent="0.2">
      <c r="B154" s="3">
        <v>44256</v>
      </c>
      <c r="C154" s="151">
        <v>-1.5513837249454E-2</v>
      </c>
      <c r="D154" s="152">
        <v>4.15335205453711E-2</v>
      </c>
      <c r="E154" s="153">
        <v>0.109721467256074</v>
      </c>
      <c r="F154" s="153">
        <f>'Markowitz Model'!$I$4*C154+'Markowitz Model'!$J$4*D154+'Markowitz Model'!$K$4*E154</f>
        <v>5.7631013917425047E-2</v>
      </c>
      <c r="G154" s="153">
        <f>'Markowitz Model'!$I$9*C154+'Markowitz Model'!$J$9*D154+'Markowitz Model'!$K$9*E154</f>
        <v>4.1533520545371107E-2</v>
      </c>
      <c r="H154" s="153">
        <v>0</v>
      </c>
      <c r="I154" s="153">
        <f t="shared" si="6"/>
        <v>0</v>
      </c>
      <c r="J154" s="153">
        <f t="shared" si="7"/>
        <v>5.7631013917425047E-2</v>
      </c>
      <c r="K154" s="153">
        <f t="shared" si="8"/>
        <v>4.1533520545371107E-2</v>
      </c>
    </row>
    <row r="155" spans="2:11" ht="16" x14ac:dyDescent="0.2">
      <c r="B155" s="3">
        <v>44287</v>
      </c>
      <c r="C155" s="151">
        <v>2.3201460667203098E-2</v>
      </c>
      <c r="D155" s="152">
        <v>5.11249983807689E-2</v>
      </c>
      <c r="E155" s="153">
        <v>2.3147044348936299E-2</v>
      </c>
      <c r="F155" s="153">
        <f>'Markowitz Model'!$I$4*C155+'Markowitz Model'!$J$4*D155+'Markowitz Model'!$K$4*E155</f>
        <v>4.4520093095941453E-2</v>
      </c>
      <c r="G155" s="153">
        <f>'Markowitz Model'!$I$9*C155+'Markowitz Model'!$J$9*D155+'Markowitz Model'!$K$9*E155</f>
        <v>5.1124998380768914E-2</v>
      </c>
      <c r="H155" s="153">
        <v>0</v>
      </c>
      <c r="I155" s="153">
        <f t="shared" si="6"/>
        <v>0</v>
      </c>
      <c r="J155" s="153">
        <f t="shared" si="7"/>
        <v>4.4520093095941453E-2</v>
      </c>
      <c r="K155" s="153">
        <f t="shared" si="8"/>
        <v>5.1124998380768914E-2</v>
      </c>
    </row>
    <row r="156" spans="2:11" ht="16" x14ac:dyDescent="0.2">
      <c r="B156" s="3">
        <v>44317</v>
      </c>
      <c r="C156" s="151">
        <v>2.4533588646314899E-2</v>
      </c>
      <c r="D156" s="152">
        <v>3.5170341378550199E-2</v>
      </c>
      <c r="E156" s="153">
        <v>2.99281090494838E-2</v>
      </c>
      <c r="F156" s="153">
        <f>'Markowitz Model'!$I$4*C156+'Markowitz Model'!$J$4*D156+'Markowitz Model'!$K$4*E156</f>
        <v>3.3932779547719075E-2</v>
      </c>
      <c r="G156" s="153">
        <f>'Markowitz Model'!$I$9*C156+'Markowitz Model'!$J$9*D156+'Markowitz Model'!$K$9*E156</f>
        <v>3.5170341378550206E-2</v>
      </c>
      <c r="H156" s="153">
        <v>0</v>
      </c>
      <c r="I156" s="153">
        <f t="shared" si="6"/>
        <v>0</v>
      </c>
      <c r="J156" s="153">
        <f t="shared" si="7"/>
        <v>3.3932779547719075E-2</v>
      </c>
      <c r="K156" s="153">
        <f t="shared" si="8"/>
        <v>3.5170341378550206E-2</v>
      </c>
    </row>
    <row r="157" spans="2:11" ht="16" x14ac:dyDescent="0.2">
      <c r="B157" s="3">
        <v>44348</v>
      </c>
      <c r="C157" s="151">
        <v>-4.1885875159970399E-3</v>
      </c>
      <c r="D157" s="152">
        <v>7.00788208015279E-2</v>
      </c>
      <c r="E157" s="153">
        <v>-1.45208978837014E-2</v>
      </c>
      <c r="F157" s="153">
        <f>'Markowitz Model'!$I$4*C157+'Markowitz Model'!$J$4*D157+'Markowitz Model'!$K$4*E157</f>
        <v>5.0106912619706269E-2</v>
      </c>
      <c r="G157" s="153">
        <f>'Markowitz Model'!$I$9*C157+'Markowitz Model'!$J$9*D157+'Markowitz Model'!$K$9*E157</f>
        <v>7.0078820801527913E-2</v>
      </c>
      <c r="H157" s="153">
        <v>0</v>
      </c>
      <c r="I157" s="153">
        <f t="shared" si="6"/>
        <v>0</v>
      </c>
      <c r="J157" s="153">
        <f t="shared" si="7"/>
        <v>5.0106912619706269E-2</v>
      </c>
      <c r="K157" s="153">
        <f t="shared" si="8"/>
        <v>7.0078820801527913E-2</v>
      </c>
    </row>
    <row r="158" spans="2:11" ht="16" x14ac:dyDescent="0.2">
      <c r="B158" s="3">
        <v>44378</v>
      </c>
      <c r="C158" s="151">
        <v>-3.1040805838410599E-2</v>
      </c>
      <c r="D158" s="152">
        <v>3.6668570943098097E-2</v>
      </c>
      <c r="E158" s="153">
        <v>-3.4739444420137698E-3</v>
      </c>
      <c r="F158" s="153">
        <f>'Markowitz Model'!$I$4*C158+'Markowitz Model'!$J$4*D158+'Markowitz Model'!$K$4*E158</f>
        <v>2.7191912581599396E-2</v>
      </c>
      <c r="G158" s="153">
        <f>'Markowitz Model'!$I$9*C158+'Markowitz Model'!$J$9*D158+'Markowitz Model'!$K$9*E158</f>
        <v>3.6668570943098104E-2</v>
      </c>
      <c r="H158" s="153">
        <v>0</v>
      </c>
      <c r="I158" s="153">
        <f t="shared" si="6"/>
        <v>0</v>
      </c>
      <c r="J158" s="153">
        <f t="shared" si="7"/>
        <v>2.7191912581599396E-2</v>
      </c>
      <c r="K158" s="153">
        <f t="shared" si="8"/>
        <v>3.6668570943098104E-2</v>
      </c>
    </row>
    <row r="159" spans="2:11" ht="16" x14ac:dyDescent="0.2">
      <c r="B159" s="3">
        <v>44409</v>
      </c>
      <c r="C159" s="151">
        <v>5.4892510890623303E-2</v>
      </c>
      <c r="D159" s="152">
        <v>0.14664664335703101</v>
      </c>
      <c r="E159" s="153">
        <v>-1.6166609033052899E-2</v>
      </c>
      <c r="F159" s="153">
        <f>'Markowitz Model'!$I$4*C159+'Markowitz Model'!$J$4*D159+'Markowitz Model'!$K$4*E159</f>
        <v>0.10821044784653416</v>
      </c>
      <c r="G159" s="153">
        <f>'Markowitz Model'!$I$9*C159+'Markowitz Model'!$J$9*D159+'Markowitz Model'!$K$9*E159</f>
        <v>0.14664664335703104</v>
      </c>
      <c r="H159" s="153">
        <v>0</v>
      </c>
      <c r="I159" s="153">
        <f t="shared" si="6"/>
        <v>0</v>
      </c>
      <c r="J159" s="153">
        <f t="shared" si="7"/>
        <v>0.10821044784653416</v>
      </c>
      <c r="K159" s="153">
        <f t="shared" si="8"/>
        <v>0.14664664335703104</v>
      </c>
    </row>
    <row r="160" spans="2:11" ht="16" x14ac:dyDescent="0.2">
      <c r="B160" s="3">
        <v>44440</v>
      </c>
      <c r="C160" s="151">
        <v>-1.73961071142196E-2</v>
      </c>
      <c r="D160" s="152">
        <v>-0.102239687502211</v>
      </c>
      <c r="E160" s="153">
        <v>-9.2332755700734501E-2</v>
      </c>
      <c r="F160" s="153">
        <f>'Markowitz Model'!$I$4*C160+'Markowitz Model'!$J$4*D160+'Markowitz Model'!$K$4*E160</f>
        <v>-9.990090511170642E-2</v>
      </c>
      <c r="G160" s="153">
        <f>'Markowitz Model'!$I$9*C160+'Markowitz Model'!$J$9*D160+'Markowitz Model'!$K$9*E160</f>
        <v>-0.10223968750221103</v>
      </c>
      <c r="H160" s="153">
        <v>0</v>
      </c>
      <c r="I160" s="153">
        <f t="shared" si="6"/>
        <v>0</v>
      </c>
      <c r="J160" s="153">
        <f t="shared" si="7"/>
        <v>-9.990090511170642E-2</v>
      </c>
      <c r="K160" s="153">
        <f t="shared" si="8"/>
        <v>-0.10223968750221103</v>
      </c>
    </row>
    <row r="161" spans="2:11" ht="16" x14ac:dyDescent="0.2">
      <c r="B161" s="3">
        <v>44470</v>
      </c>
      <c r="C161" s="151">
        <v>8.5208198225352697E-3</v>
      </c>
      <c r="D161" s="152">
        <v>-2.5379773796785398E-4</v>
      </c>
      <c r="E161" s="153">
        <v>1.8584116405788501E-2</v>
      </c>
      <c r="F161" s="153">
        <f>'Markowitz Model'!$I$4*C161+'Markowitz Model'!$J$4*D161+'Markowitz Model'!$K$4*E161</f>
        <v>4.193369433071796E-3</v>
      </c>
      <c r="G161" s="153">
        <f>'Markowitz Model'!$I$9*C161+'Markowitz Model'!$J$9*D161+'Markowitz Model'!$K$9*E161</f>
        <v>-2.5379773796785403E-4</v>
      </c>
      <c r="H161" s="153">
        <v>0</v>
      </c>
      <c r="I161" s="153">
        <f t="shared" si="6"/>
        <v>0</v>
      </c>
      <c r="J161" s="153">
        <f t="shared" si="7"/>
        <v>4.193369433071796E-3</v>
      </c>
      <c r="K161" s="153">
        <f t="shared" si="8"/>
        <v>-2.5379773796785403E-4</v>
      </c>
    </row>
    <row r="162" spans="2:11" ht="16" x14ac:dyDescent="0.2">
      <c r="B162" s="3">
        <v>44501</v>
      </c>
      <c r="C162" s="151">
        <v>1.04913823045898E-2</v>
      </c>
      <c r="D162" s="152">
        <v>-4.065077726329E-2</v>
      </c>
      <c r="E162" s="153">
        <v>-4.8354990406052199E-2</v>
      </c>
      <c r="F162" s="153">
        <f>'Markowitz Model'!$I$4*C162+'Markowitz Model'!$J$4*D162+'Markowitz Model'!$K$4*E162</f>
        <v>-4.2469552075921804E-2</v>
      </c>
      <c r="G162" s="153">
        <f>'Markowitz Model'!$I$9*C162+'Markowitz Model'!$J$9*D162+'Markowitz Model'!$K$9*E162</f>
        <v>-4.0650777263290007E-2</v>
      </c>
      <c r="H162" s="153">
        <v>0</v>
      </c>
      <c r="I162" s="153">
        <f t="shared" si="6"/>
        <v>0</v>
      </c>
      <c r="J162" s="153">
        <f t="shared" si="7"/>
        <v>-4.2469552075921804E-2</v>
      </c>
      <c r="K162" s="153">
        <f t="shared" si="8"/>
        <v>-4.0650777263290007E-2</v>
      </c>
    </row>
    <row r="163" spans="2:11" ht="16" x14ac:dyDescent="0.2">
      <c r="B163" s="3">
        <v>44531</v>
      </c>
      <c r="C163" s="151">
        <v>-2.1011671979730001E-2</v>
      </c>
      <c r="D163" s="152">
        <v>5.7985293458363098E-2</v>
      </c>
      <c r="E163" s="153">
        <v>5.31380790697158E-2</v>
      </c>
      <c r="F163" s="153">
        <f>'Markowitz Model'!$I$4*C163+'Markowitz Model'!$J$4*D163+'Markowitz Model'!$K$4*E163</f>
        <v>5.6840985625994746E-2</v>
      </c>
      <c r="G163" s="153">
        <f>'Markowitz Model'!$I$9*C163+'Markowitz Model'!$J$9*D163+'Markowitz Model'!$K$9*E163</f>
        <v>5.7985293458363112E-2</v>
      </c>
      <c r="H163" s="153">
        <v>0.01</v>
      </c>
      <c r="I163" s="153">
        <f t="shared" si="6"/>
        <v>1E-4</v>
      </c>
      <c r="J163" s="153">
        <f t="shared" si="7"/>
        <v>5.6740985625994743E-2</v>
      </c>
      <c r="K163" s="153">
        <f t="shared" si="8"/>
        <v>5.7885293458363109E-2</v>
      </c>
    </row>
    <row r="164" spans="2:11" ht="16" x14ac:dyDescent="0.2">
      <c r="B164" s="3">
        <v>44562</v>
      </c>
      <c r="C164" s="151">
        <v>1.97420294351849E-2</v>
      </c>
      <c r="D164" s="152">
        <v>-0.12734094253848399</v>
      </c>
      <c r="E164" s="153">
        <v>-6.5360535621417096E-2</v>
      </c>
      <c r="F164" s="153">
        <f>'Markowitz Model'!$I$4*C164+'Markowitz Model'!$J$4*D164+'Markowitz Model'!$K$4*E164</f>
        <v>-0.1127088962946266</v>
      </c>
      <c r="G164" s="153">
        <f>'Markowitz Model'!$I$9*C164+'Markowitz Model'!$J$9*D164+'Markowitz Model'!$K$9*E164</f>
        <v>-0.12734094253848402</v>
      </c>
      <c r="H164" s="153">
        <v>0</v>
      </c>
      <c r="I164" s="153">
        <f t="shared" si="6"/>
        <v>0</v>
      </c>
      <c r="J164" s="153">
        <f t="shared" si="7"/>
        <v>-0.1127088962946266</v>
      </c>
      <c r="K164" s="153">
        <f t="shared" si="8"/>
        <v>-0.12734094253848402</v>
      </c>
    </row>
    <row r="165" spans="2:11" ht="16" x14ac:dyDescent="0.2">
      <c r="B165" s="3">
        <v>44593</v>
      </c>
      <c r="C165" s="151">
        <v>-6.2580818255865603E-2</v>
      </c>
      <c r="D165" s="152">
        <v>-6.3080318208862299E-2</v>
      </c>
      <c r="E165" s="153">
        <v>-0.10462584874360301</v>
      </c>
      <c r="F165" s="153">
        <f>'Markowitz Model'!$I$4*C165+'Markowitz Model'!$J$4*D165+'Markowitz Model'!$K$4*E165</f>
        <v>-7.2888193862588088E-2</v>
      </c>
      <c r="G165" s="153">
        <f>'Markowitz Model'!$I$9*C165+'Markowitz Model'!$J$9*D165+'Markowitz Model'!$K$9*E165</f>
        <v>-6.3080318208862313E-2</v>
      </c>
      <c r="H165" s="153">
        <v>0</v>
      </c>
      <c r="I165" s="153">
        <f t="shared" si="6"/>
        <v>0</v>
      </c>
      <c r="J165" s="153">
        <f t="shared" si="7"/>
        <v>-7.2888193862588088E-2</v>
      </c>
      <c r="K165" s="153">
        <f t="shared" si="8"/>
        <v>-6.3080318208862313E-2</v>
      </c>
    </row>
    <row r="166" spans="2:11" ht="16" x14ac:dyDescent="0.2">
      <c r="B166" s="3">
        <v>44621</v>
      </c>
      <c r="C166" s="151">
        <v>-2.6442831280001501E-2</v>
      </c>
      <c r="D166" s="152">
        <v>1.51123371054103E-2</v>
      </c>
      <c r="E166" s="153">
        <v>1.1228676327192001E-2</v>
      </c>
      <c r="F166" s="153">
        <f>'Markowitz Model'!$I$4*C166+'Markowitz Model'!$J$4*D166+'Markowitz Model'!$K$4*E166</f>
        <v>1.4195500528677572E-2</v>
      </c>
      <c r="G166" s="153">
        <f>'Markowitz Model'!$I$9*C166+'Markowitz Model'!$J$9*D166+'Markowitz Model'!$K$9*E166</f>
        <v>1.5112337105410304E-2</v>
      </c>
      <c r="H166" s="153">
        <v>0</v>
      </c>
      <c r="I166" s="153">
        <f t="shared" si="6"/>
        <v>0</v>
      </c>
      <c r="J166" s="153">
        <f t="shared" si="7"/>
        <v>1.4195500528677572E-2</v>
      </c>
      <c r="K166" s="153">
        <f t="shared" si="8"/>
        <v>1.5112337105410304E-2</v>
      </c>
    </row>
    <row r="167" spans="2:11" ht="16" x14ac:dyDescent="0.2">
      <c r="B167" s="3">
        <v>44652</v>
      </c>
      <c r="C167" s="151">
        <v>8.2983117812666499E-2</v>
      </c>
      <c r="D167" s="152">
        <v>-9.8692830665013401E-2</v>
      </c>
      <c r="E167" s="153">
        <v>-3.1300544292674801E-2</v>
      </c>
      <c r="F167" s="153">
        <f>'Markowitz Model'!$I$4*C167+'Markowitz Model'!$J$4*D167+'Markowitz Model'!$K$4*E167</f>
        <v>-8.2783173085662951E-2</v>
      </c>
      <c r="G167" s="153">
        <f>'Markowitz Model'!$I$9*C167+'Markowitz Model'!$J$9*D167+'Markowitz Model'!$K$9*E167</f>
        <v>-9.8692830665013428E-2</v>
      </c>
      <c r="H167" s="153">
        <v>0</v>
      </c>
      <c r="I167" s="153">
        <f t="shared" si="6"/>
        <v>0</v>
      </c>
      <c r="J167" s="153">
        <f t="shared" si="7"/>
        <v>-8.2783173085662951E-2</v>
      </c>
      <c r="K167" s="153">
        <f t="shared" si="8"/>
        <v>-9.8692830665013428E-2</v>
      </c>
    </row>
    <row r="168" spans="2:11" ht="16" x14ac:dyDescent="0.2">
      <c r="B168" s="3">
        <v>44682</v>
      </c>
      <c r="C168" s="151">
        <v>5.0486911033487103E-4</v>
      </c>
      <c r="D168" s="152">
        <v>7.1185334225472199E-2</v>
      </c>
      <c r="E168" s="153">
        <v>3.5154735267169501E-2</v>
      </c>
      <c r="F168" s="153">
        <f>'Markowitz Model'!$I$4*C168+'Markowitz Model'!$J$4*D168+'Markowitz Model'!$K$4*E168</f>
        <v>6.2679397972791762E-2</v>
      </c>
      <c r="G168" s="153">
        <f>'Markowitz Model'!$I$9*C168+'Markowitz Model'!$J$9*D168+'Markowitz Model'!$K$9*E168</f>
        <v>7.1185334225472213E-2</v>
      </c>
      <c r="H168" s="153">
        <v>0.03</v>
      </c>
      <c r="I168" s="153">
        <f t="shared" si="6"/>
        <v>2.9999999999999997E-4</v>
      </c>
      <c r="J168" s="153">
        <f t="shared" si="7"/>
        <v>6.237939797279176E-2</v>
      </c>
      <c r="K168" s="153">
        <f t="shared" si="8"/>
        <v>7.0885334225472219E-2</v>
      </c>
    </row>
    <row r="169" spans="2:11" ht="16" x14ac:dyDescent="0.2">
      <c r="B169" s="3">
        <v>44713</v>
      </c>
      <c r="C169" s="151">
        <v>-1.7530185032692502E-2</v>
      </c>
      <c r="D169" s="152">
        <v>-6.8908688414516903E-2</v>
      </c>
      <c r="E169" s="153">
        <v>-0.124403659852173</v>
      </c>
      <c r="F169" s="153">
        <f>'Markowitz Model'!$I$4*C169+'Markowitz Model'!$J$4*D169+'Markowitz Model'!$K$4*E169</f>
        <v>-8.2009683208949885E-2</v>
      </c>
      <c r="G169" s="153">
        <f>'Markowitz Model'!$I$9*C169+'Markowitz Model'!$J$9*D169+'Markowitz Model'!$K$9*E169</f>
        <v>-6.8908688414516917E-2</v>
      </c>
      <c r="H169" s="153">
        <v>0.06</v>
      </c>
      <c r="I169" s="153">
        <f t="shared" si="6"/>
        <v>5.9999999999999995E-4</v>
      </c>
      <c r="J169" s="153">
        <f t="shared" si="7"/>
        <v>-8.2609683208949888E-2</v>
      </c>
      <c r="K169" s="153">
        <f t="shared" si="8"/>
        <v>-6.950868841451692E-2</v>
      </c>
    </row>
    <row r="170" spans="2:11" ht="16" x14ac:dyDescent="0.2">
      <c r="B170" s="3">
        <v>44743</v>
      </c>
      <c r="C170" s="151">
        <v>-5.0735322046952303E-2</v>
      </c>
      <c r="D170" s="152">
        <v>0.12907296597873599</v>
      </c>
      <c r="E170" s="153">
        <v>0.106869685822927</v>
      </c>
      <c r="F170" s="153">
        <f>'Markowitz Model'!$I$4*C170+'Markowitz Model'!$J$4*D170+'Markowitz Model'!$K$4*E170</f>
        <v>0.12383131884918709</v>
      </c>
      <c r="G170" s="153">
        <f>'Markowitz Model'!$I$9*C170+'Markowitz Model'!$J$9*D170+'Markowitz Model'!$K$9*E170</f>
        <v>0.12907296597873602</v>
      </c>
      <c r="H170" s="153">
        <v>0.08</v>
      </c>
      <c r="I170" s="153">
        <f t="shared" si="6"/>
        <v>8.0000000000000004E-4</v>
      </c>
      <c r="J170" s="153">
        <f t="shared" si="7"/>
        <v>0.1230313188491871</v>
      </c>
      <c r="K170" s="153">
        <f t="shared" si="8"/>
        <v>0.12827296597873603</v>
      </c>
    </row>
    <row r="171" spans="2:11" ht="16" x14ac:dyDescent="0.2">
      <c r="B171" s="3">
        <v>44774</v>
      </c>
      <c r="C171" s="151">
        <v>-4.12836030900354E-3</v>
      </c>
      <c r="D171" s="152">
        <v>-4.1930229241376203E-2</v>
      </c>
      <c r="E171" s="153">
        <v>-0.131876449172634</v>
      </c>
      <c r="F171" s="153">
        <f>'Markowitz Model'!$I$4*C171+'Markowitz Model'!$J$4*D171+'Markowitz Model'!$K$4*E171</f>
        <v>-6.3164314575074376E-2</v>
      </c>
      <c r="G171" s="153">
        <f>'Markowitz Model'!$I$9*C171+'Markowitz Model'!$J$9*D171+'Markowitz Model'!$K$9*E171</f>
        <v>-4.193022924137621E-2</v>
      </c>
      <c r="H171" s="153">
        <v>0.19</v>
      </c>
      <c r="I171" s="153">
        <f t="shared" si="6"/>
        <v>1.9E-3</v>
      </c>
      <c r="J171" s="153">
        <f t="shared" si="7"/>
        <v>-6.5064314575074375E-2</v>
      </c>
      <c r="K171" s="153">
        <f t="shared" si="8"/>
        <v>-4.3830229241376209E-2</v>
      </c>
    </row>
    <row r="172" spans="2:11" ht="16" x14ac:dyDescent="0.2">
      <c r="B172" s="3">
        <v>44805</v>
      </c>
      <c r="C172" s="151">
        <v>6.5991114440058493E-2</v>
      </c>
      <c r="D172" s="152">
        <v>-5.2241659168207298E-2</v>
      </c>
      <c r="E172" s="153">
        <v>-0.102259909221596</v>
      </c>
      <c r="F172" s="153">
        <f>'Markowitz Model'!$I$4*C172+'Markowitz Model'!$J$4*D172+'Markowitz Model'!$K$4*E172</f>
        <v>-6.404973504607768E-2</v>
      </c>
      <c r="G172" s="153">
        <f>'Markowitz Model'!$I$9*C172+'Markowitz Model'!$J$9*D172+'Markowitz Model'!$K$9*E172</f>
        <v>-5.2241659168207312E-2</v>
      </c>
      <c r="H172" s="153">
        <v>0.19</v>
      </c>
      <c r="I172" s="153">
        <f t="shared" si="6"/>
        <v>1.9E-3</v>
      </c>
      <c r="J172" s="153">
        <f t="shared" si="7"/>
        <v>-6.5949735046077679E-2</v>
      </c>
      <c r="K172" s="153">
        <f t="shared" si="8"/>
        <v>-5.4141659168207311E-2</v>
      </c>
    </row>
    <row r="173" spans="2:11" ht="16" x14ac:dyDescent="0.2">
      <c r="B173" s="3">
        <v>44835</v>
      </c>
      <c r="C173" s="151">
        <v>2.6993982833325401E-3</v>
      </c>
      <c r="D173" s="152">
        <v>0.13821490999781899</v>
      </c>
      <c r="E173" s="153">
        <v>0.13837105859950599</v>
      </c>
      <c r="F173" s="153">
        <f>'Markowitz Model'!$I$4*C173+'Markowitz Model'!$J$4*D173+'Markowitz Model'!$K$4*E173</f>
        <v>0.13825177283358348</v>
      </c>
      <c r="G173" s="153">
        <f>'Markowitz Model'!$I$9*C173+'Markowitz Model'!$J$9*D173+'Markowitz Model'!$K$9*E173</f>
        <v>0.13821490999781902</v>
      </c>
      <c r="H173" s="153">
        <v>0.23</v>
      </c>
      <c r="I173" s="153">
        <f t="shared" si="6"/>
        <v>2.3E-3</v>
      </c>
      <c r="J173" s="153">
        <f t="shared" si="7"/>
        <v>0.13595177283358348</v>
      </c>
      <c r="K173" s="153">
        <f t="shared" si="8"/>
        <v>0.13591490999781902</v>
      </c>
    </row>
    <row r="174" spans="2:11" ht="16" x14ac:dyDescent="0.2">
      <c r="B174" s="3">
        <v>44866</v>
      </c>
      <c r="C174" s="151">
        <v>1.5324602525288399E-2</v>
      </c>
      <c r="D174" s="152">
        <v>0.122140750111063</v>
      </c>
      <c r="E174" s="153">
        <v>1.43109094502081E-3</v>
      </c>
      <c r="F174" s="153">
        <f>'Markowitz Model'!$I$4*C174+'Markowitz Model'!$J$4*D174+'Markowitz Model'!$K$4*E174</f>
        <v>9.3644175098880456E-2</v>
      </c>
      <c r="G174" s="153">
        <f>'Markowitz Model'!$I$9*C174+'Markowitz Model'!$J$9*D174+'Markowitz Model'!$K$9*E174</f>
        <v>0.12214075011106303</v>
      </c>
      <c r="H174" s="153">
        <v>0.28999999999999998</v>
      </c>
      <c r="I174" s="153">
        <f t="shared" si="6"/>
        <v>2.8999999999999998E-3</v>
      </c>
      <c r="J174" s="153">
        <f t="shared" si="7"/>
        <v>9.0744175098880456E-2</v>
      </c>
      <c r="K174" s="153">
        <f t="shared" si="8"/>
        <v>0.11924075011106303</v>
      </c>
    </row>
    <row r="175" spans="2:11" ht="16" x14ac:dyDescent="0.2">
      <c r="B175" s="3">
        <v>44896</v>
      </c>
      <c r="C175" s="151">
        <v>9.1092124012437403E-4</v>
      </c>
      <c r="D175" s="152">
        <v>-3.4391518151632501E-2</v>
      </c>
      <c r="E175" s="153">
        <v>-3.68804446275732E-2</v>
      </c>
      <c r="F175" s="153">
        <f>'Markowitz Model'!$I$4*C175+'Markowitz Model'!$J$4*D175+'Markowitz Model'!$K$4*E175</f>
        <v>-3.4979092340073299E-2</v>
      </c>
      <c r="G175" s="153">
        <f>'Markowitz Model'!$I$9*C175+'Markowitz Model'!$J$9*D175+'Markowitz Model'!$K$9*E175</f>
        <v>-3.4391518151632508E-2</v>
      </c>
      <c r="H175" s="153">
        <v>0.33</v>
      </c>
      <c r="I175" s="153">
        <f t="shared" si="6"/>
        <v>3.3E-3</v>
      </c>
      <c r="J175" s="153">
        <f t="shared" si="7"/>
        <v>-3.8279092340073297E-2</v>
      </c>
      <c r="K175" s="153">
        <f t="shared" si="8"/>
        <v>-3.7691518151632505E-2</v>
      </c>
    </row>
    <row r="176" spans="2:11" ht="16" x14ac:dyDescent="0.2">
      <c r="B176" s="3">
        <v>44927</v>
      </c>
      <c r="C176" s="151">
        <v>3.56098007533154E-2</v>
      </c>
      <c r="D176" s="152">
        <v>1.7753495822979699E-2</v>
      </c>
      <c r="E176" s="153">
        <v>-4.0360383313193103E-2</v>
      </c>
      <c r="F176" s="153">
        <f>'Markowitz Model'!$I$4*C176+'Markowitz Model'!$J$4*D176+'Markowitz Model'!$K$4*E176</f>
        <v>4.0342414775185378E-3</v>
      </c>
      <c r="G176" s="153">
        <f>'Markowitz Model'!$I$9*C176+'Markowitz Model'!$J$9*D176+'Markowitz Model'!$K$9*E176</f>
        <v>1.7753495822979703E-2</v>
      </c>
      <c r="H176" s="153">
        <v>0.35</v>
      </c>
      <c r="I176" s="153">
        <f t="shared" si="6"/>
        <v>3.4999999999999996E-3</v>
      </c>
      <c r="J176" s="153">
        <f t="shared" si="7"/>
        <v>5.3424147751853814E-4</v>
      </c>
      <c r="K176" s="153">
        <f t="shared" si="8"/>
        <v>1.4253495822979703E-2</v>
      </c>
    </row>
    <row r="177" spans="2:11" ht="16" x14ac:dyDescent="0.2">
      <c r="B177" s="3">
        <v>44958</v>
      </c>
      <c r="C177" s="151">
        <v>-1.2192428990193101E-3</v>
      </c>
      <c r="D177" s="152">
        <v>-6.6478140687102699E-2</v>
      </c>
      <c r="E177" s="153">
        <v>-6.37814910735887E-2</v>
      </c>
      <c r="F177" s="153">
        <f>'Markowitz Model'!$I$4*C177+'Markowitz Model'!$J$4*D177+'Markowitz Model'!$K$4*E177</f>
        <v>-6.584152818629721E-2</v>
      </c>
      <c r="G177" s="153">
        <f>'Markowitz Model'!$I$9*C177+'Markowitz Model'!$J$9*D177+'Markowitz Model'!$K$9*E177</f>
        <v>-6.6478140687102713E-2</v>
      </c>
      <c r="H177" s="153">
        <v>0.34</v>
      </c>
      <c r="I177" s="153">
        <f t="shared" si="6"/>
        <v>3.4000000000000002E-3</v>
      </c>
      <c r="J177" s="153">
        <f t="shared" si="7"/>
        <v>-6.924152818629721E-2</v>
      </c>
      <c r="K177" s="153">
        <f t="shared" si="8"/>
        <v>-6.9878140687102713E-2</v>
      </c>
    </row>
    <row r="178" spans="2:11" ht="16" x14ac:dyDescent="0.2">
      <c r="B178" s="3">
        <v>44986</v>
      </c>
      <c r="C178" s="151">
        <v>-1.23445113931731E-3</v>
      </c>
      <c r="D178" s="152">
        <v>-2.5568679174251902E-2</v>
      </c>
      <c r="E178" s="153">
        <v>-1.14936178725589E-2</v>
      </c>
      <c r="F178" s="153">
        <f>'Markowitz Model'!$I$4*C178+'Markowitz Model'!$J$4*D178+'Markowitz Model'!$K$4*E178</f>
        <v>-2.2245904153960931E-2</v>
      </c>
      <c r="G178" s="153">
        <f>'Markowitz Model'!$I$9*C178+'Markowitz Model'!$J$9*D178+'Markowitz Model'!$K$9*E178</f>
        <v>-2.5568679174251908E-2</v>
      </c>
      <c r="H178" s="153">
        <v>0.36</v>
      </c>
      <c r="I178" s="153">
        <f t="shared" si="6"/>
        <v>3.5999999999999999E-3</v>
      </c>
      <c r="J178" s="153">
        <f t="shared" si="7"/>
        <v>-2.584590415396093E-2</v>
      </c>
      <c r="K178" s="153">
        <f t="shared" si="8"/>
        <v>-2.9168679174251907E-2</v>
      </c>
    </row>
    <row r="179" spans="2:11" ht="16" x14ac:dyDescent="0.2">
      <c r="B179" s="3">
        <v>45017</v>
      </c>
      <c r="C179" s="151">
        <v>-1.9425678909034499E-2</v>
      </c>
      <c r="D179" s="152">
        <v>-2.1035327661113001E-2</v>
      </c>
      <c r="E179" s="153">
        <v>1.05604365400069E-2</v>
      </c>
      <c r="F179" s="153">
        <f>'Markowitz Model'!$I$4*C179+'Markowitz Model'!$J$4*D179+'Markowitz Model'!$K$4*E179</f>
        <v>-1.3576346575051444E-2</v>
      </c>
      <c r="G179" s="153">
        <f>'Markowitz Model'!$I$9*C179+'Markowitz Model'!$J$9*D179+'Markowitz Model'!$K$9*E179</f>
        <v>-2.1035327661113004E-2</v>
      </c>
      <c r="H179" s="153">
        <v>0.35</v>
      </c>
      <c r="I179" s="153">
        <f t="shared" si="6"/>
        <v>3.4999999999999996E-3</v>
      </c>
      <c r="J179" s="153">
        <f t="shared" si="7"/>
        <v>-1.7076346575051443E-2</v>
      </c>
      <c r="K179" s="153">
        <f t="shared" si="8"/>
        <v>-2.4535327661113004E-2</v>
      </c>
    </row>
    <row r="180" spans="2:11" ht="16" x14ac:dyDescent="0.2">
      <c r="B180" s="3">
        <v>45047</v>
      </c>
      <c r="C180" s="151">
        <v>3.4174521829295E-2</v>
      </c>
      <c r="D180" s="152">
        <v>-0.14451411159359501</v>
      </c>
      <c r="E180" s="153">
        <v>-0.121540281077212</v>
      </c>
      <c r="F180" s="153">
        <f>'Markowitz Model'!$I$4*C180+'Markowitz Model'!$J$4*D180+'Markowitz Model'!$K$4*E180</f>
        <v>-0.13909055651813304</v>
      </c>
      <c r="G180" s="153">
        <f>'Markowitz Model'!$I$9*C180+'Markowitz Model'!$J$9*D180+'Markowitz Model'!$K$9*E180</f>
        <v>-0.14451411159359503</v>
      </c>
      <c r="H180" s="153">
        <v>0.36</v>
      </c>
      <c r="I180" s="153">
        <f t="shared" si="6"/>
        <v>3.5999999999999999E-3</v>
      </c>
      <c r="J180" s="153">
        <f t="shared" si="7"/>
        <v>-0.14269055651813303</v>
      </c>
      <c r="K180" s="153">
        <f t="shared" si="8"/>
        <v>-0.14811411159359503</v>
      </c>
    </row>
    <row r="181" spans="2:11" ht="16" x14ac:dyDescent="0.2">
      <c r="B181" s="3">
        <v>45078</v>
      </c>
      <c r="C181" s="151">
        <v>1.82007624418659E-2</v>
      </c>
      <c r="D181" s="152">
        <v>3.9595350548962099E-2</v>
      </c>
      <c r="E181" s="153">
        <v>8.8966442635772094E-2</v>
      </c>
      <c r="F181" s="153">
        <f>'Markowitz Model'!$I$4*C181+'Markowitz Model'!$J$4*D181+'Markowitz Model'!$K$4*E181</f>
        <v>5.1250648383494843E-2</v>
      </c>
      <c r="G181" s="153">
        <f>'Markowitz Model'!$I$9*C181+'Markowitz Model'!$J$9*D181+'Markowitz Model'!$K$9*E181</f>
        <v>3.9595350548962106E-2</v>
      </c>
      <c r="H181" s="153">
        <v>0.4</v>
      </c>
      <c r="I181" s="153">
        <f t="shared" si="6"/>
        <v>4.0000000000000001E-3</v>
      </c>
      <c r="J181" s="153">
        <f t="shared" si="7"/>
        <v>4.7250648383494839E-2</v>
      </c>
      <c r="K181" s="153">
        <f t="shared" si="8"/>
        <v>3.559535054896211E-2</v>
      </c>
    </row>
    <row r="182" spans="2:11" ht="16" x14ac:dyDescent="0.2">
      <c r="B182" s="3">
        <v>45108</v>
      </c>
      <c r="C182" s="151">
        <v>1.7884358198382501E-2</v>
      </c>
      <c r="D182" s="152">
        <v>1.4574068941780399E-2</v>
      </c>
      <c r="E182" s="153">
        <v>0.11399712381988</v>
      </c>
      <c r="F182" s="153">
        <f>'Markowitz Model'!$I$4*C182+'Markowitz Model'!$J$4*D182+'Markowitz Model'!$K$4*E182</f>
        <v>3.8045401400576259E-2</v>
      </c>
      <c r="G182" s="153">
        <f>'Markowitz Model'!$I$9*C182+'Markowitz Model'!$J$9*D182+'Markowitz Model'!$K$9*E182</f>
        <v>1.4574068941780403E-2</v>
      </c>
      <c r="H182" s="153">
        <v>0.45</v>
      </c>
      <c r="I182" s="153">
        <f t="shared" si="6"/>
        <v>4.5000000000000005E-3</v>
      </c>
      <c r="J182" s="153">
        <f t="shared" si="7"/>
        <v>3.3545401400576255E-2</v>
      </c>
      <c r="K182" s="153">
        <f t="shared" si="8"/>
        <v>1.0074068941780402E-2</v>
      </c>
    </row>
    <row r="183" spans="2:11" ht="16" x14ac:dyDescent="0.2">
      <c r="B183" s="3">
        <v>45139</v>
      </c>
      <c r="C183" s="151">
        <v>3.7198160066816303E-2</v>
      </c>
      <c r="D183" s="152">
        <v>-5.7483971520216901E-3</v>
      </c>
      <c r="E183" s="153">
        <v>-4.3318307487763101E-2</v>
      </c>
      <c r="F183" s="153">
        <f>'Markowitz Model'!$I$4*C183+'Markowitz Model'!$J$4*D183+'Markowitz Model'!$K$4*E183</f>
        <v>-1.4617726876586202E-2</v>
      </c>
      <c r="G183" s="153">
        <f>'Markowitz Model'!$I$9*C183+'Markowitz Model'!$J$9*D183+'Markowitz Model'!$K$9*E183</f>
        <v>-5.748397152021691E-3</v>
      </c>
      <c r="H183" s="153">
        <v>0.45</v>
      </c>
      <c r="I183" s="153">
        <f t="shared" si="6"/>
        <v>4.5000000000000005E-3</v>
      </c>
      <c r="J183" s="153">
        <f t="shared" si="7"/>
        <v>-1.9117726876586201E-2</v>
      </c>
      <c r="K183" s="153">
        <f t="shared" si="8"/>
        <v>-1.0248397152021691E-2</v>
      </c>
    </row>
    <row r="184" spans="2:11" ht="16" x14ac:dyDescent="0.2">
      <c r="B184" s="3">
        <v>45170</v>
      </c>
      <c r="C184" s="151">
        <v>-3.8919713526941501E-4</v>
      </c>
      <c r="D184" s="152">
        <v>-7.6402205242658394E-2</v>
      </c>
      <c r="E184" s="153">
        <v>-0.109214317267151</v>
      </c>
      <c r="F184" s="153">
        <f>'Markowitz Model'!$I$4*C184+'Markowitz Model'!$J$4*D184+'Markowitz Model'!$K$4*E184</f>
        <v>-8.4148336066604379E-2</v>
      </c>
      <c r="G184" s="153">
        <f>'Markowitz Model'!$I$9*C184+'Markowitz Model'!$J$9*D184+'Markowitz Model'!$K$9*E184</f>
        <v>-7.6402205242658408E-2</v>
      </c>
      <c r="H184" s="153">
        <v>0.43</v>
      </c>
      <c r="I184" s="153">
        <f t="shared" si="6"/>
        <v>4.3E-3</v>
      </c>
      <c r="J184" s="153">
        <f t="shared" si="7"/>
        <v>-8.8448336066604377E-2</v>
      </c>
      <c r="K184" s="153">
        <f t="shared" si="8"/>
        <v>-8.0702205242658406E-2</v>
      </c>
    </row>
    <row r="185" spans="2:11" ht="16" x14ac:dyDescent="0.2">
      <c r="B185" s="3">
        <v>45200</v>
      </c>
      <c r="C185" s="151">
        <v>9.0912087488546102E-3</v>
      </c>
      <c r="D185" s="152">
        <v>-7.5567845992586799E-2</v>
      </c>
      <c r="E185" s="153">
        <v>-2.8519620709682801E-2</v>
      </c>
      <c r="F185" s="153">
        <f>'Markowitz Model'!$I$4*C185+'Markowitz Model'!$J$4*D185+'Markowitz Model'!$K$4*E185</f>
        <v>-6.4460919751331169E-2</v>
      </c>
      <c r="G185" s="153">
        <f>'Markowitz Model'!$I$9*C185+'Markowitz Model'!$J$9*D185+'Markowitz Model'!$K$9*E185</f>
        <v>-7.5567845992586813E-2</v>
      </c>
      <c r="H185" s="153">
        <v>0.47</v>
      </c>
      <c r="I185" s="153">
        <f t="shared" si="6"/>
        <v>4.6999999999999993E-3</v>
      </c>
      <c r="J185" s="153">
        <f t="shared" si="7"/>
        <v>-6.9160919751331165E-2</v>
      </c>
      <c r="K185" s="153">
        <f t="shared" si="8"/>
        <v>-8.0267845992586809E-2</v>
      </c>
    </row>
    <row r="186" spans="2:11" ht="16" x14ac:dyDescent="0.2">
      <c r="B186" s="3">
        <v>45231</v>
      </c>
      <c r="C186" s="151">
        <v>1.15762512463287E-2</v>
      </c>
      <c r="D186" s="152">
        <v>0.238828254274812</v>
      </c>
      <c r="E186" s="153">
        <v>8.9279997158895605E-2</v>
      </c>
      <c r="F186" s="153">
        <f>'Markowitz Model'!$I$4*C186+'Markowitz Model'!$J$4*D186+'Markowitz Model'!$K$4*E186</f>
        <v>0.20352359716379481</v>
      </c>
      <c r="G186" s="153">
        <f>'Markowitz Model'!$I$9*C186+'Markowitz Model'!$J$9*D186+'Markowitz Model'!$K$9*E186</f>
        <v>0.23882825427481205</v>
      </c>
      <c r="H186" s="153">
        <v>0.44</v>
      </c>
      <c r="I186" s="153">
        <f t="shared" si="6"/>
        <v>4.4000000000000003E-3</v>
      </c>
      <c r="J186" s="153">
        <f t="shared" si="7"/>
        <v>0.19912359716379482</v>
      </c>
      <c r="K186" s="153">
        <f t="shared" si="8"/>
        <v>0.23442825427481206</v>
      </c>
    </row>
    <row r="187" spans="2:11" ht="16" x14ac:dyDescent="0.2">
      <c r="B187" s="3">
        <v>45261</v>
      </c>
      <c r="C187" s="151">
        <v>4.8137752078125703E-3</v>
      </c>
      <c r="D187" s="152">
        <v>8.7871602977840801E-2</v>
      </c>
      <c r="E187" s="153">
        <v>0.120826655199311</v>
      </c>
      <c r="F187" s="153">
        <f>'Markowitz Model'!$I$4*C187+'Markowitz Model'!$J$4*D187+'Markowitz Model'!$K$4*E187</f>
        <v>9.5651478458789144E-2</v>
      </c>
      <c r="G187" s="153">
        <f>'Markowitz Model'!$I$9*C187+'Markowitz Model'!$J$9*D187+'Markowitz Model'!$K$9*E187</f>
        <v>8.7871602977840815E-2</v>
      </c>
      <c r="H187" s="153">
        <v>0.43</v>
      </c>
      <c r="I187" s="153">
        <f t="shared" si="6"/>
        <v>4.3E-3</v>
      </c>
      <c r="J187" s="153">
        <f t="shared" si="7"/>
        <v>9.1351478458789145E-2</v>
      </c>
      <c r="K187" s="153">
        <f t="shared" si="8"/>
        <v>8.3571602977840817E-2</v>
      </c>
    </row>
    <row r="188" spans="2:11" ht="16" x14ac:dyDescent="0.2">
      <c r="B188" s="3">
        <v>45292</v>
      </c>
      <c r="C188" s="151">
        <v>1.9348826001101899E-2</v>
      </c>
      <c r="D188" s="152">
        <v>-6.2647901080103999E-2</v>
      </c>
      <c r="E188" s="153">
        <v>-0.13693739869452801</v>
      </c>
      <c r="F188" s="153">
        <f>'Markowitz Model'!$I$4*C188+'Markowitz Model'!$J$4*D188+'Markowitz Model'!$K$4*E188</f>
        <v>-8.0185820216092621E-2</v>
      </c>
      <c r="G188" s="153">
        <f>'Markowitz Model'!$I$9*C188+'Markowitz Model'!$J$9*D188+'Markowitz Model'!$K$9*E188</f>
        <v>-6.2647901080104013E-2</v>
      </c>
      <c r="H188" s="153">
        <v>0.47</v>
      </c>
      <c r="I188" s="153">
        <f t="shared" si="6"/>
        <v>4.6999999999999993E-3</v>
      </c>
      <c r="J188" s="153">
        <f t="shared" si="7"/>
        <v>-8.4885820216092617E-2</v>
      </c>
      <c r="K188" s="153">
        <f t="shared" si="8"/>
        <v>-6.7347901080104008E-2</v>
      </c>
    </row>
    <row r="189" spans="2:11" ht="16" x14ac:dyDescent="0.2">
      <c r="B189" s="3">
        <v>45323</v>
      </c>
      <c r="C189" s="151">
        <v>5.46433019853243E-4</v>
      </c>
      <c r="D189" s="152">
        <v>5.5803080164223501E-2</v>
      </c>
      <c r="E189" s="153">
        <v>-2.3635395533149601E-2</v>
      </c>
      <c r="F189" s="153">
        <f>'Markowitz Model'!$I$4*C189+'Markowitz Model'!$J$4*D189+'Markowitz Model'!$K$4*E189</f>
        <v>3.704961422617651E-2</v>
      </c>
      <c r="G189" s="153">
        <f>'Markowitz Model'!$I$9*C189+'Markowitz Model'!$J$9*D189+'Markowitz Model'!$K$9*E189</f>
        <v>5.5803080164223515E-2</v>
      </c>
      <c r="H189" s="153">
        <v>0.42</v>
      </c>
      <c r="I189" s="153">
        <f t="shared" si="6"/>
        <v>4.1999999999999997E-3</v>
      </c>
      <c r="J189" s="153">
        <f t="shared" si="7"/>
        <v>3.2849614226176507E-2</v>
      </c>
      <c r="K189" s="153">
        <f t="shared" si="8"/>
        <v>5.1603080164223512E-2</v>
      </c>
    </row>
    <row r="190" spans="2:11" ht="16" x14ac:dyDescent="0.2">
      <c r="B190" s="3">
        <v>45352</v>
      </c>
      <c r="C190" s="151">
        <v>1.93029785621677E-2</v>
      </c>
      <c r="D190" s="152">
        <v>5.93330911124288E-2</v>
      </c>
      <c r="E190" s="153">
        <v>0.170558102872992</v>
      </c>
      <c r="F190" s="153">
        <f>'Markowitz Model'!$I$4*C190+'Markowitz Model'!$J$4*D190+'Markowitz Model'!$K$4*E190</f>
        <v>8.5590574670608113E-2</v>
      </c>
      <c r="G190" s="153">
        <f>'Markowitz Model'!$I$9*C190+'Markowitz Model'!$J$9*D190+'Markowitz Model'!$K$9*E190</f>
        <v>5.9333091112428814E-2</v>
      </c>
      <c r="H190" s="153">
        <v>0.43</v>
      </c>
      <c r="I190" s="153">
        <f t="shared" si="6"/>
        <v>4.3E-3</v>
      </c>
      <c r="J190" s="153">
        <f t="shared" si="7"/>
        <v>8.1290574670608115E-2</v>
      </c>
      <c r="K190" s="153">
        <f t="shared" si="8"/>
        <v>5.5033091112428816E-2</v>
      </c>
    </row>
    <row r="191" spans="2:11" ht="16" x14ac:dyDescent="0.2">
      <c r="B191" s="3">
        <v>45383</v>
      </c>
      <c r="C191" s="151">
        <v>2.21881350661512E-2</v>
      </c>
      <c r="D191" s="152">
        <v>-5.8209162018676097E-2</v>
      </c>
      <c r="E191" s="153">
        <v>8.8205435948626204E-2</v>
      </c>
      <c r="F191" s="153">
        <f>'Markowitz Model'!$I$4*C191+'Markowitz Model'!$J$4*D191+'Markowitz Model'!$K$4*E191</f>
        <v>-2.3644284587330228E-2</v>
      </c>
      <c r="G191" s="153">
        <f>'Markowitz Model'!$I$9*C191+'Markowitz Model'!$J$9*D191+'Markowitz Model'!$K$9*E191</f>
        <v>-5.8209162018676111E-2</v>
      </c>
      <c r="H191" s="153">
        <v>0.47</v>
      </c>
      <c r="I191" s="153">
        <f t="shared" si="6"/>
        <v>4.6999999999999993E-3</v>
      </c>
      <c r="J191" s="153">
        <f t="shared" si="7"/>
        <v>-2.8344284587330227E-2</v>
      </c>
      <c r="K191" s="153">
        <f t="shared" si="8"/>
        <v>-6.2909162018676107E-2</v>
      </c>
    </row>
    <row r="192" spans="2:11" ht="16" x14ac:dyDescent="0.2">
      <c r="B192" s="3">
        <v>45413</v>
      </c>
      <c r="C192" s="151">
        <v>2.8082627806563301E-2</v>
      </c>
      <c r="D192" s="152">
        <v>-4.6833999097222197E-2</v>
      </c>
      <c r="E192" s="153">
        <v>3.7612616932852602E-2</v>
      </c>
      <c r="F192" s="153">
        <f>'Markowitz Model'!$I$4*C192+'Markowitz Model'!$J$4*D192+'Markowitz Model'!$K$4*E192</f>
        <v>-2.6898234678271869E-2</v>
      </c>
      <c r="G192" s="153">
        <f>'Markowitz Model'!$I$9*C192+'Markowitz Model'!$J$9*D192+'Markowitz Model'!$K$9*E192</f>
        <v>-4.6833999097222204E-2</v>
      </c>
      <c r="H192" s="153">
        <v>0.44</v>
      </c>
      <c r="I192" s="153">
        <f t="shared" si="6"/>
        <v>4.4000000000000003E-3</v>
      </c>
      <c r="J192" s="153">
        <f t="shared" si="7"/>
        <v>-3.129823467827187E-2</v>
      </c>
      <c r="K192" s="153">
        <f t="shared" si="8"/>
        <v>-5.1233999097222205E-2</v>
      </c>
    </row>
    <row r="193" spans="2:11" ht="16" x14ac:dyDescent="0.2">
      <c r="B193" s="3">
        <v>45444</v>
      </c>
      <c r="C193" s="151">
        <v>9.8316305942705001E-3</v>
      </c>
      <c r="D193" s="152">
        <v>-5.9809711115225202E-3</v>
      </c>
      <c r="E193" s="153">
        <v>2.7558629268059898E-2</v>
      </c>
      <c r="F193" s="153">
        <f>'Markowitz Model'!$I$4*C193+'Markowitz Model'!$J$4*D193+'Markowitz Model'!$K$4*E193</f>
        <v>1.9369017803286346E-3</v>
      </c>
      <c r="G193" s="153">
        <f>'Markowitz Model'!$I$9*C193+'Markowitz Model'!$J$9*D193+'Markowitz Model'!$K$9*E193</f>
        <v>-5.980971111522522E-3</v>
      </c>
      <c r="H193" s="153">
        <v>0.41</v>
      </c>
      <c r="I193" s="153">
        <f t="shared" si="6"/>
        <v>4.0999999999999995E-3</v>
      </c>
      <c r="J193" s="153">
        <f t="shared" si="7"/>
        <v>-2.1630982196713649E-3</v>
      </c>
      <c r="K193" s="153">
        <f t="shared" si="8"/>
        <v>-1.0080971111522521E-2</v>
      </c>
    </row>
    <row r="194" spans="2:11" ht="16" x14ac:dyDescent="0.2">
      <c r="B194" s="3">
        <v>45474</v>
      </c>
      <c r="C194" s="151">
        <v>5.6178704125528202E-2</v>
      </c>
      <c r="D194" s="152">
        <v>9.0796641191450894E-2</v>
      </c>
      <c r="E194" s="153">
        <v>0.24816523183515399</v>
      </c>
      <c r="F194" s="153">
        <f>'Markowitz Model'!$I$4*C194+'Markowitz Model'!$J$4*D194+'Markowitz Model'!$K$4*E194</f>
        <v>0.12794748627561384</v>
      </c>
      <c r="G194" s="153">
        <f>'Markowitz Model'!$I$9*C194+'Markowitz Model'!$J$9*D194+'Markowitz Model'!$K$9*E194</f>
        <v>9.0796641191450908E-2</v>
      </c>
      <c r="H194" s="153">
        <v>0.45</v>
      </c>
      <c r="I194" s="153">
        <f t="shared" si="6"/>
        <v>4.5000000000000005E-3</v>
      </c>
      <c r="J194" s="153">
        <f t="shared" si="7"/>
        <v>0.12344748627561383</v>
      </c>
      <c r="K194" s="153">
        <f t="shared" si="8"/>
        <v>8.6296641191450904E-2</v>
      </c>
    </row>
    <row r="195" spans="2:11" ht="16" x14ac:dyDescent="0.2">
      <c r="B195" s="3">
        <v>45505</v>
      </c>
      <c r="C195" s="151">
        <v>-3.8947371879367698E-2</v>
      </c>
      <c r="D195" s="152">
        <v>1.2625570158164101E-2</v>
      </c>
      <c r="E195" s="153">
        <v>5.5978086197886703E-2</v>
      </c>
      <c r="F195" s="153">
        <f>'Markowitz Model'!$I$4*C195+'Markowitz Model'!$J$4*D195+'Markowitz Model'!$K$4*E195</f>
        <v>2.2860030547066798E-2</v>
      </c>
      <c r="G195" s="153">
        <f>'Markowitz Model'!$I$9*C195+'Markowitz Model'!$J$9*D195+'Markowitz Model'!$K$9*E195</f>
        <v>1.2625570158164104E-2</v>
      </c>
      <c r="H195" s="153">
        <v>0.48</v>
      </c>
      <c r="I195" s="153">
        <f t="shared" si="6"/>
        <v>4.7999999999999996E-3</v>
      </c>
      <c r="J195" s="153">
        <f t="shared" si="7"/>
        <v>1.8060030547066799E-2</v>
      </c>
      <c r="K195" s="153">
        <f t="shared" si="8"/>
        <v>7.8255701581641038E-3</v>
      </c>
    </row>
    <row r="196" spans="2:11" ht="16" x14ac:dyDescent="0.2">
      <c r="B196" s="3">
        <v>45536</v>
      </c>
      <c r="C196" s="151">
        <v>-2.6884498600556601E-2</v>
      </c>
      <c r="D196" s="152">
        <v>3.8902688730410501E-2</v>
      </c>
      <c r="E196" s="153">
        <v>2.0394457887589399E-2</v>
      </c>
      <c r="F196" s="153">
        <f>'Markowitz Model'!$I$4*C196+'Markowitz Model'!$J$4*D196+'Markowitz Model'!$K$4*E196</f>
        <v>3.4533351659963248E-2</v>
      </c>
      <c r="G196" s="153">
        <f>'Markowitz Model'!$I$9*C196+'Markowitz Model'!$J$9*D196+'Markowitz Model'!$K$9*E196</f>
        <v>3.8902688730410508E-2</v>
      </c>
      <c r="H196" s="153">
        <v>0.4</v>
      </c>
      <c r="I196" s="153">
        <f t="shared" ref="I196:I210" si="9">H196/100</f>
        <v>4.0000000000000001E-3</v>
      </c>
      <c r="J196" s="153">
        <f t="shared" ref="J196:J210" si="10">F196-I196</f>
        <v>3.0533351659963247E-2</v>
      </c>
      <c r="K196" s="153">
        <f t="shared" ref="K196:K210" si="11">G196-I196</f>
        <v>3.4902688730410511E-2</v>
      </c>
    </row>
    <row r="197" spans="2:11" ht="16" x14ac:dyDescent="0.2">
      <c r="B197" s="3">
        <v>45566</v>
      </c>
      <c r="C197" s="151">
        <v>2.7187749953683201E-3</v>
      </c>
      <c r="D197" s="152">
        <v>-0.122373262789627</v>
      </c>
      <c r="E197" s="153">
        <v>-6.0204937913764502E-2</v>
      </c>
      <c r="F197" s="153">
        <f>'Markowitz Model'!$I$4*C197+'Markowitz Model'!$J$4*D197+'Markowitz Model'!$K$4*E197</f>
        <v>-0.10769685374791274</v>
      </c>
      <c r="G197" s="153">
        <f>'Markowitz Model'!$I$9*C197+'Markowitz Model'!$J$9*D197+'Markowitz Model'!$K$9*E197</f>
        <v>-0.12237326278962703</v>
      </c>
      <c r="H197" s="153">
        <v>0.39</v>
      </c>
      <c r="I197" s="153">
        <f t="shared" si="9"/>
        <v>3.9000000000000003E-3</v>
      </c>
      <c r="J197" s="153">
        <f t="shared" si="10"/>
        <v>-0.11159685374791274</v>
      </c>
      <c r="K197" s="153">
        <f t="shared" si="11"/>
        <v>-0.12627326278962703</v>
      </c>
    </row>
    <row r="198" spans="2:11" ht="16" x14ac:dyDescent="0.2">
      <c r="B198" s="3">
        <v>45597</v>
      </c>
      <c r="C198" s="151">
        <v>2.1608341854583601E-2</v>
      </c>
      <c r="D198" s="152">
        <v>6.0468440024181301E-2</v>
      </c>
      <c r="E198" s="153">
        <v>3.9386548832640998E-2</v>
      </c>
      <c r="F198" s="153">
        <f>'Markowitz Model'!$I$4*C198+'Markowitz Model'!$J$4*D198+'Markowitz Model'!$K$4*E198</f>
        <v>5.5491525186636949E-2</v>
      </c>
      <c r="G198" s="153">
        <f>'Markowitz Model'!$I$9*C198+'Markowitz Model'!$J$9*D198+'Markowitz Model'!$K$9*E198</f>
        <v>6.0468440024181315E-2</v>
      </c>
      <c r="H198" s="153">
        <v>0.4</v>
      </c>
      <c r="I198" s="153">
        <f t="shared" si="9"/>
        <v>4.0000000000000001E-3</v>
      </c>
      <c r="J198" s="153">
        <f t="shared" si="10"/>
        <v>5.1491525186636952E-2</v>
      </c>
      <c r="K198" s="153">
        <f t="shared" si="11"/>
        <v>5.6468440024181318E-2</v>
      </c>
    </row>
    <row r="199" spans="2:11" ht="16" x14ac:dyDescent="0.2">
      <c r="B199" s="3">
        <v>45627</v>
      </c>
      <c r="C199" s="151">
        <v>4.8424362676078303E-3</v>
      </c>
      <c r="D199" s="152">
        <v>-2.6310009490204799E-2</v>
      </c>
      <c r="E199" s="153">
        <v>-2.8109399651777198E-2</v>
      </c>
      <c r="F199" s="153">
        <f>'Markowitz Model'!$I$4*C199+'Markowitz Model'!$J$4*D199+'Markowitz Model'!$K$4*E199</f>
        <v>-2.6734801152029468E-2</v>
      </c>
      <c r="G199" s="153">
        <f>'Markowitz Model'!$I$9*C199+'Markowitz Model'!$J$9*D199+'Markowitz Model'!$K$9*E199</f>
        <v>-2.6310009490204806E-2</v>
      </c>
      <c r="H199" s="153">
        <v>0.37</v>
      </c>
      <c r="I199" s="153">
        <f t="shared" si="9"/>
        <v>3.7000000000000002E-3</v>
      </c>
      <c r="J199" s="153">
        <f t="shared" si="10"/>
        <v>-3.043480115202947E-2</v>
      </c>
      <c r="K199" s="153">
        <f t="shared" si="11"/>
        <v>-3.0010009490204805E-2</v>
      </c>
    </row>
    <row r="200" spans="2:11" ht="16" x14ac:dyDescent="0.2">
      <c r="B200" s="3">
        <v>45658</v>
      </c>
      <c r="C200" s="151">
        <v>3.6021556172899101E-2</v>
      </c>
      <c r="D200" s="152">
        <v>0.129969231445689</v>
      </c>
      <c r="E200" s="153">
        <v>0.17902250216139201</v>
      </c>
      <c r="F200" s="153">
        <f>'Markowitz Model'!$I$4*C200+'Markowitz Model'!$J$4*D200+'Markowitz Model'!$K$4*E200</f>
        <v>0.14154949948886292</v>
      </c>
      <c r="G200" s="153">
        <f>'Markowitz Model'!$I$9*C200+'Markowitz Model'!$J$9*D200+'Markowitz Model'!$K$9*E200</f>
        <v>0.12996923144568903</v>
      </c>
      <c r="H200" s="153">
        <v>0.37</v>
      </c>
      <c r="I200" s="153">
        <f t="shared" si="9"/>
        <v>3.7000000000000002E-3</v>
      </c>
      <c r="J200" s="153">
        <f t="shared" si="10"/>
        <v>0.13784949948886291</v>
      </c>
      <c r="K200" s="153">
        <f t="shared" si="11"/>
        <v>0.12626923144568902</v>
      </c>
    </row>
    <row r="201" spans="2:11" ht="16" x14ac:dyDescent="0.2">
      <c r="B201" s="3">
        <v>45689</v>
      </c>
      <c r="C201" s="151">
        <v>3.0263211276748199E-2</v>
      </c>
      <c r="D201" s="152">
        <v>-0.15575508624920401</v>
      </c>
      <c r="E201" s="153">
        <v>1.9185165709484999E-2</v>
      </c>
      <c r="F201" s="153">
        <f>'Markowitz Model'!$I$4*C201+'Markowitz Model'!$J$4*D201+'Markowitz Model'!$K$4*E201</f>
        <v>-0.11445600507349207</v>
      </c>
      <c r="G201" s="153">
        <f>'Markowitz Model'!$I$9*C201+'Markowitz Model'!$J$9*D201+'Markowitz Model'!$K$9*E201</f>
        <v>-0.15575508624920403</v>
      </c>
      <c r="H201" s="153">
        <v>0.33</v>
      </c>
      <c r="I201" s="153">
        <f t="shared" si="9"/>
        <v>3.3E-3</v>
      </c>
      <c r="J201" s="153">
        <f t="shared" si="10"/>
        <v>-0.11775600507349207</v>
      </c>
      <c r="K201" s="153">
        <f t="shared" si="11"/>
        <v>-0.15905508624920403</v>
      </c>
    </row>
    <row r="202" spans="2:11" ht="16" x14ac:dyDescent="0.2">
      <c r="B202" s="3">
        <v>45717</v>
      </c>
      <c r="C202" s="151">
        <v>4.2942874264617599E-3</v>
      </c>
      <c r="D202" s="152">
        <v>-8.5522137260636302E-2</v>
      </c>
      <c r="E202" s="153">
        <v>-4.8578904718754798E-2</v>
      </c>
      <c r="F202" s="153">
        <f>'Markowitz Model'!$I$4*C202+'Markowitz Model'!$J$4*D202+'Markowitz Model'!$K$4*E202</f>
        <v>-7.680075071547085E-2</v>
      </c>
      <c r="G202" s="153">
        <f>'Markowitz Model'!$I$9*C202+'Markowitz Model'!$J$9*D202+'Markowitz Model'!$K$9*E202</f>
        <v>-8.5522137260636316E-2</v>
      </c>
      <c r="H202" s="153">
        <v>0.34</v>
      </c>
      <c r="I202" s="153">
        <f t="shared" si="9"/>
        <v>3.4000000000000002E-3</v>
      </c>
      <c r="J202" s="153">
        <f t="shared" si="10"/>
        <v>-8.020075071547085E-2</v>
      </c>
      <c r="K202" s="153">
        <f t="shared" si="11"/>
        <v>-8.8922137260636316E-2</v>
      </c>
    </row>
    <row r="203" spans="2:11" ht="16" x14ac:dyDescent="0.2">
      <c r="B203" s="3">
        <v>45748</v>
      </c>
      <c r="C203" s="151">
        <v>-6.94033560936963E-2</v>
      </c>
      <c r="D203" s="152">
        <v>-8.01847016694619E-2</v>
      </c>
      <c r="E203" s="153">
        <v>-5.4133156444252498E-2</v>
      </c>
      <c r="F203" s="153">
        <f>'Markowitz Model'!$I$4*C203+'Markowitz Model'!$J$4*D203+'Markowitz Model'!$K$4*E203</f>
        <v>-7.4034574017520949E-2</v>
      </c>
      <c r="G203" s="153">
        <f>'Markowitz Model'!$I$9*C203+'Markowitz Model'!$J$9*D203+'Markowitz Model'!$K$9*E203</f>
        <v>-8.0184701669461914E-2</v>
      </c>
      <c r="H203" s="153">
        <v>0.35</v>
      </c>
      <c r="I203" s="153">
        <f t="shared" si="9"/>
        <v>3.4999999999999996E-3</v>
      </c>
      <c r="J203" s="153">
        <f t="shared" si="10"/>
        <v>-7.7534574017520952E-2</v>
      </c>
      <c r="K203" s="153">
        <f t="shared" si="11"/>
        <v>-8.3684701669461917E-2</v>
      </c>
    </row>
    <row r="204" spans="2:11" ht="16" x14ac:dyDescent="0.2">
      <c r="B204" s="3">
        <v>45778</v>
      </c>
      <c r="C204" s="151">
        <v>1.78593566547798E-2</v>
      </c>
      <c r="D204" s="152">
        <v>4.2358559067253498E-2</v>
      </c>
      <c r="E204" s="153">
        <v>6.7957768228273499E-2</v>
      </c>
      <c r="F204" s="153">
        <f>'Markowitz Model'!$I$4*C204+'Markowitz Model'!$J$4*D204+'Markowitz Model'!$K$4*E204</f>
        <v>4.8401901324612626E-2</v>
      </c>
      <c r="G204" s="153">
        <f>'Markowitz Model'!$I$9*C204+'Markowitz Model'!$J$9*D204+'Markowitz Model'!$K$9*E204</f>
        <v>4.2358559067253505E-2</v>
      </c>
      <c r="H204" s="153">
        <v>0.38</v>
      </c>
      <c r="I204" s="153">
        <f t="shared" si="9"/>
        <v>3.8E-3</v>
      </c>
      <c r="J204" s="153">
        <f t="shared" si="10"/>
        <v>4.4601901324612628E-2</v>
      </c>
      <c r="K204" s="153">
        <f t="shared" si="11"/>
        <v>3.8558559067253508E-2</v>
      </c>
    </row>
    <row r="205" spans="2:11" ht="16" x14ac:dyDescent="0.2">
      <c r="B205" s="3">
        <v>45809</v>
      </c>
      <c r="C205" s="151">
        <v>-9.1776894679972507E-2</v>
      </c>
      <c r="D205" s="152">
        <v>5.4413890551249497E-2</v>
      </c>
      <c r="E205" s="153">
        <v>3.1247764237878301E-2</v>
      </c>
      <c r="F205" s="153">
        <f>'Markowitz Model'!$I$4*C205+'Markowitz Model'!$J$4*D205+'Markowitz Model'!$K$4*E205</f>
        <v>4.894493917824793E-2</v>
      </c>
      <c r="G205" s="153">
        <f>'Markowitz Model'!$I$9*C205+'Markowitz Model'!$J$9*D205+'Markowitz Model'!$K$9*E205</f>
        <v>5.4413890551249511E-2</v>
      </c>
      <c r="H205" s="153">
        <v>0.34</v>
      </c>
      <c r="I205" s="153">
        <f t="shared" si="9"/>
        <v>3.4000000000000002E-3</v>
      </c>
      <c r="J205" s="153">
        <f t="shared" si="10"/>
        <v>4.554493917824793E-2</v>
      </c>
      <c r="K205" s="153">
        <f t="shared" si="11"/>
        <v>5.1013890551249511E-2</v>
      </c>
    </row>
    <row r="206" spans="2:11" ht="16" x14ac:dyDescent="0.2">
      <c r="B206" s="3">
        <v>45839</v>
      </c>
      <c r="C206" s="151">
        <v>7.8684401665826104E-2</v>
      </c>
      <c r="D206" s="152">
        <v>-2.7116334795429398E-2</v>
      </c>
      <c r="E206" s="153">
        <v>-1.9837155469775301E-2</v>
      </c>
      <c r="F206" s="153">
        <f>'Markowitz Model'!$I$4*C206+'Markowitz Model'!$J$4*D206+'Markowitz Model'!$K$4*E206</f>
        <v>-2.5397899989849364E-2</v>
      </c>
      <c r="G206" s="153">
        <f>'Markowitz Model'!$I$9*C206+'Markowitz Model'!$J$9*D206+'Markowitz Model'!$K$9*E206</f>
        <v>-2.7116334795429405E-2</v>
      </c>
      <c r="H206" s="153">
        <v>0.34</v>
      </c>
      <c r="I206" s="153">
        <f t="shared" si="9"/>
        <v>3.4000000000000002E-3</v>
      </c>
      <c r="J206" s="153">
        <f t="shared" si="10"/>
        <v>-2.8797899989849364E-2</v>
      </c>
      <c r="K206" s="153">
        <f t="shared" si="11"/>
        <v>-3.0516334795429405E-2</v>
      </c>
    </row>
    <row r="207" spans="2:11" ht="16" x14ac:dyDescent="0.2">
      <c r="B207" s="3">
        <v>45870</v>
      </c>
      <c r="C207" s="151">
        <v>2.97288893439271E-2</v>
      </c>
      <c r="D207" s="152">
        <v>9.6808975022983704E-2</v>
      </c>
      <c r="E207" s="153">
        <v>4.2286536356374201E-2</v>
      </c>
      <c r="F207" s="153">
        <f>'Markowitz Model'!$I$4*C207+'Markowitz Model'!$J$4*D207+'Markowitz Model'!$K$4*E207</f>
        <v>8.3937571242670123E-2</v>
      </c>
      <c r="G207" s="153">
        <f>'Markowitz Model'!$I$9*C207+'Markowitz Model'!$J$9*D207+'Markowitz Model'!$K$9*E207</f>
        <v>9.6808975022983731E-2</v>
      </c>
      <c r="H207" s="153">
        <v>0.38</v>
      </c>
      <c r="I207" s="153">
        <f t="shared" si="9"/>
        <v>3.8E-3</v>
      </c>
      <c r="J207" s="153">
        <f t="shared" si="10"/>
        <v>8.0137571242670125E-2</v>
      </c>
      <c r="K207" s="153">
        <f t="shared" si="11"/>
        <v>9.3008975022983734E-2</v>
      </c>
    </row>
    <row r="208" spans="2:11" ht="16" x14ac:dyDescent="0.2">
      <c r="B208" s="3">
        <v>45901</v>
      </c>
      <c r="C208" s="151">
        <v>1.7924256249588499E-2</v>
      </c>
      <c r="D208" s="152">
        <v>2.1406964477142899E-2</v>
      </c>
      <c r="E208" s="153">
        <v>2.3597630341376501E-3</v>
      </c>
      <c r="F208" s="153">
        <f>'Markowitz Model'!$I$4*C208+'Markowitz Model'!$J$4*D208+'Markowitz Model'!$K$4*E208</f>
        <v>1.6910389733723819E-2</v>
      </c>
      <c r="G208" s="153">
        <f>'Markowitz Model'!$I$9*C208+'Markowitz Model'!$J$9*D208+'Markowitz Model'!$K$9*E208</f>
        <v>2.1406964477142902E-2</v>
      </c>
      <c r="H208" s="153">
        <v>0.33</v>
      </c>
      <c r="I208" s="153">
        <f t="shared" si="9"/>
        <v>3.3E-3</v>
      </c>
      <c r="J208" s="153">
        <f t="shared" si="10"/>
        <v>1.3610389733723818E-2</v>
      </c>
      <c r="K208" s="153">
        <f t="shared" si="11"/>
        <v>1.8106964477142901E-2</v>
      </c>
    </row>
    <row r="209" spans="2:11" ht="16" x14ac:dyDescent="0.2">
      <c r="B209" s="3">
        <v>45931</v>
      </c>
      <c r="C209" s="151">
        <v>3.9313498313738003E-2</v>
      </c>
      <c r="D209" s="152">
        <v>0.14260921399232299</v>
      </c>
      <c r="E209" s="153">
        <v>7.2947595427908907E-2</v>
      </c>
      <c r="F209" s="153">
        <f>'Markowitz Model'!$I$4*C209+'Markowitz Model'!$J$4*D209+'Markowitz Model'!$K$4*E209</f>
        <v>0.1261638230219099</v>
      </c>
      <c r="G209" s="153">
        <f>'Markowitz Model'!$I$9*C209+'Markowitz Model'!$J$9*D209+'Markowitz Model'!$K$9*E209</f>
        <v>0.14260921399232301</v>
      </c>
      <c r="H209" s="153">
        <v>0.40600000000000003</v>
      </c>
      <c r="I209" s="153">
        <f t="shared" si="9"/>
        <v>4.0600000000000002E-3</v>
      </c>
      <c r="J209" s="153">
        <f t="shared" si="10"/>
        <v>0.1221038230219099</v>
      </c>
      <c r="K209" s="153">
        <f t="shared" si="11"/>
        <v>0.13854921399232301</v>
      </c>
    </row>
    <row r="210" spans="2:11" ht="16" x14ac:dyDescent="0.2">
      <c r="B210" s="3">
        <v>45962</v>
      </c>
      <c r="C210" s="151">
        <v>-6.5777731366835401E-2</v>
      </c>
      <c r="D210" s="152">
        <v>2.80133684339701E-3</v>
      </c>
      <c r="E210" s="153">
        <v>-1.3093049103791299E-2</v>
      </c>
      <c r="F210" s="153">
        <f>'Markowitz Model'!$I$4*C210+'Markowitz Model'!$J$4*D210+'Markowitz Model'!$K$4*E210</f>
        <v>-9.509358789838618E-4</v>
      </c>
      <c r="G210" s="153">
        <f>'Markowitz Model'!$I$9*C210+'Markowitz Model'!$J$9*D210+'Markowitz Model'!$K$9*E210</f>
        <v>2.8013368433970104E-3</v>
      </c>
      <c r="H210" s="153">
        <v>0.4</v>
      </c>
      <c r="I210" s="153">
        <f t="shared" si="9"/>
        <v>4.0000000000000001E-3</v>
      </c>
      <c r="J210" s="153">
        <f t="shared" si="10"/>
        <v>-4.9509358789838614E-3</v>
      </c>
      <c r="K210" s="153">
        <f t="shared" si="11"/>
        <v>-1.1986631566029897E-3</v>
      </c>
    </row>
    <row r="211" spans="2:11" ht="16" x14ac:dyDescent="0.2">
      <c r="B211"/>
      <c r="C211"/>
      <c r="D211" s="8"/>
      <c r="E211"/>
      <c r="F211" s="8"/>
      <c r="G211"/>
      <c r="H211" s="8"/>
      <c r="I211"/>
      <c r="J211" s="8"/>
      <c r="K211"/>
    </row>
    <row r="212" spans="2:11" ht="16" x14ac:dyDescent="0.2">
      <c r="B212"/>
      <c r="C212"/>
      <c r="D212" s="8"/>
      <c r="E212"/>
      <c r="F212" s="8"/>
      <c r="G212"/>
      <c r="H212" s="8"/>
      <c r="I212"/>
      <c r="J212" s="8"/>
      <c r="K212"/>
    </row>
    <row r="213" spans="2:11" ht="16" x14ac:dyDescent="0.2">
      <c r="B213"/>
      <c r="C213"/>
      <c r="D213" s="8"/>
      <c r="E213"/>
      <c r="F213" s="8"/>
      <c r="G213"/>
      <c r="H213" s="8"/>
      <c r="I213"/>
      <c r="J213" s="8"/>
      <c r="K213"/>
    </row>
    <row r="214" spans="2:11" ht="16" x14ac:dyDescent="0.2">
      <c r="B214"/>
      <c r="C214"/>
      <c r="D214" s="8"/>
      <c r="E214"/>
      <c r="F214" s="8"/>
      <c r="G214"/>
      <c r="H214" s="8"/>
      <c r="I214"/>
      <c r="J214" s="8"/>
      <c r="K214"/>
    </row>
    <row r="215" spans="2:11" ht="16" x14ac:dyDescent="0.2">
      <c r="B215"/>
      <c r="C215"/>
      <c r="D215" s="8"/>
      <c r="E215"/>
      <c r="F215" s="8"/>
      <c r="G215"/>
      <c r="H215" s="8"/>
      <c r="I215"/>
      <c r="J215" s="8"/>
      <c r="K215"/>
    </row>
    <row r="216" spans="2:11" ht="16" x14ac:dyDescent="0.2">
      <c r="B216"/>
      <c r="C216"/>
      <c r="D216" s="8"/>
      <c r="E216"/>
      <c r="F216" s="8"/>
      <c r="G216"/>
      <c r="H216" s="8"/>
      <c r="I216"/>
      <c r="J216" s="8"/>
      <c r="K216"/>
    </row>
    <row r="217" spans="2:11" ht="16" x14ac:dyDescent="0.2">
      <c r="B217"/>
      <c r="C217"/>
      <c r="D217" s="8"/>
      <c r="E217"/>
      <c r="F217" s="8"/>
      <c r="G217"/>
      <c r="H217" s="8"/>
      <c r="I217"/>
      <c r="J217" s="8"/>
      <c r="K217"/>
    </row>
    <row r="218" spans="2:11" ht="16" x14ac:dyDescent="0.2">
      <c r="B218"/>
      <c r="C218"/>
      <c r="D218" s="8"/>
      <c r="E218"/>
      <c r="F218" s="8"/>
      <c r="G218"/>
      <c r="H218" s="8"/>
      <c r="I218"/>
      <c r="J218" s="8"/>
      <c r="K218"/>
    </row>
    <row r="219" spans="2:11" ht="16" x14ac:dyDescent="0.2">
      <c r="B219"/>
      <c r="C219"/>
      <c r="D219" s="8"/>
      <c r="E219"/>
      <c r="F219" s="8"/>
      <c r="G219"/>
      <c r="H219" s="8"/>
      <c r="I219"/>
      <c r="J219" s="8"/>
      <c r="K219"/>
    </row>
    <row r="220" spans="2:11" ht="16" x14ac:dyDescent="0.2">
      <c r="B220"/>
      <c r="C220"/>
      <c r="D220" s="8"/>
      <c r="E220"/>
      <c r="F220" s="8"/>
      <c r="G220"/>
      <c r="H220" s="8"/>
      <c r="I220"/>
      <c r="J220" s="8"/>
      <c r="K220"/>
    </row>
    <row r="221" spans="2:11" ht="16" x14ac:dyDescent="0.2">
      <c r="B221"/>
      <c r="C221"/>
      <c r="D221" s="8"/>
      <c r="E221"/>
      <c r="F221" s="8"/>
      <c r="G221"/>
      <c r="H221" s="8"/>
      <c r="I221"/>
      <c r="J221" s="8"/>
      <c r="K221"/>
    </row>
    <row r="222" spans="2:11" ht="16" x14ac:dyDescent="0.2">
      <c r="B222"/>
      <c r="C222"/>
      <c r="D222" s="8"/>
      <c r="E222"/>
      <c r="F222" s="8"/>
      <c r="G222"/>
      <c r="H222" s="8"/>
      <c r="I222"/>
      <c r="J222" s="8"/>
      <c r="K222"/>
    </row>
    <row r="223" spans="2:11" ht="16" x14ac:dyDescent="0.2">
      <c r="B223"/>
      <c r="C223"/>
      <c r="D223" s="8"/>
      <c r="E223"/>
      <c r="F223" s="8"/>
      <c r="G223"/>
      <c r="H223" s="8"/>
      <c r="I223"/>
      <c r="J223" s="8"/>
      <c r="K223"/>
    </row>
    <row r="224" spans="2:11" ht="16" x14ac:dyDescent="0.2">
      <c r="B224"/>
      <c r="C224"/>
      <c r="D224" s="8"/>
      <c r="E224"/>
      <c r="F224" s="8"/>
      <c r="G224"/>
      <c r="H224" s="8"/>
      <c r="I224"/>
      <c r="J224" s="8"/>
      <c r="K224"/>
    </row>
    <row r="225" spans="2:11" ht="16" x14ac:dyDescent="0.2">
      <c r="B225"/>
      <c r="C225"/>
      <c r="D225" s="8"/>
      <c r="E225"/>
      <c r="F225" s="8"/>
      <c r="G225"/>
      <c r="H225" s="8"/>
      <c r="I225"/>
      <c r="J225" s="8"/>
      <c r="K225"/>
    </row>
    <row r="226" spans="2:11" ht="16" x14ac:dyDescent="0.2">
      <c r="B226"/>
      <c r="C226"/>
      <c r="D226" s="8"/>
      <c r="E226"/>
      <c r="F226" s="8"/>
      <c r="G226"/>
      <c r="H226" s="8"/>
      <c r="I226"/>
      <c r="J226" s="8"/>
      <c r="K226"/>
    </row>
    <row r="227" spans="2:11" ht="16" x14ac:dyDescent="0.2">
      <c r="B227"/>
      <c r="C227"/>
      <c r="D227" s="8"/>
      <c r="E227"/>
      <c r="F227" s="8"/>
      <c r="G227"/>
      <c r="H227" s="8"/>
      <c r="I227"/>
      <c r="J227" s="8"/>
      <c r="K227"/>
    </row>
    <row r="228" spans="2:11" ht="16" x14ac:dyDescent="0.2">
      <c r="B228"/>
      <c r="C228"/>
      <c r="D228" s="8"/>
      <c r="E228"/>
      <c r="F228" s="8"/>
      <c r="G228"/>
      <c r="H228" s="8"/>
      <c r="I228"/>
      <c r="J228" s="8"/>
      <c r="K228"/>
    </row>
    <row r="229" spans="2:11" ht="16" x14ac:dyDescent="0.2">
      <c r="B229"/>
      <c r="C229"/>
      <c r="D229" s="8"/>
      <c r="E229"/>
      <c r="F229" s="8"/>
      <c r="G229"/>
      <c r="H229" s="8"/>
      <c r="I229"/>
      <c r="J229" s="8"/>
      <c r="K229"/>
    </row>
    <row r="230" spans="2:11" ht="16" x14ac:dyDescent="0.2">
      <c r="B230"/>
      <c r="C230"/>
      <c r="D230" s="8"/>
      <c r="E230"/>
      <c r="F230" s="8"/>
      <c r="G230"/>
      <c r="H230" s="8"/>
      <c r="I230"/>
      <c r="J230" s="8"/>
      <c r="K230"/>
    </row>
    <row r="231" spans="2:11" ht="16" x14ac:dyDescent="0.2">
      <c r="B231"/>
      <c r="C231"/>
      <c r="D231" s="8"/>
      <c r="E231"/>
      <c r="F231" s="8"/>
      <c r="G231"/>
      <c r="H231" s="8"/>
      <c r="I231"/>
      <c r="J231" s="8"/>
      <c r="K231"/>
    </row>
    <row r="232" spans="2:11" ht="16" x14ac:dyDescent="0.2">
      <c r="B232"/>
      <c r="C232"/>
      <c r="D232" s="8"/>
      <c r="E232"/>
      <c r="F232" s="8"/>
      <c r="G232"/>
      <c r="H232" s="8"/>
      <c r="I232"/>
      <c r="J232" s="8"/>
      <c r="K232"/>
    </row>
    <row r="233" spans="2:11" ht="16" x14ac:dyDescent="0.2">
      <c r="B233"/>
      <c r="C233"/>
      <c r="D233" s="8"/>
      <c r="E233"/>
      <c r="F233" s="8"/>
      <c r="G233"/>
      <c r="H233" s="8"/>
      <c r="I233"/>
      <c r="J233" s="8"/>
      <c r="K233"/>
    </row>
    <row r="234" spans="2:11" ht="16" x14ac:dyDescent="0.2">
      <c r="B234"/>
      <c r="C234"/>
      <c r="D234" s="8"/>
      <c r="E234"/>
      <c r="F234" s="8"/>
      <c r="G234"/>
      <c r="H234" s="8"/>
      <c r="I234"/>
      <c r="J234" s="8"/>
      <c r="K234"/>
    </row>
    <row r="235" spans="2:11" ht="16" x14ac:dyDescent="0.2">
      <c r="B235"/>
      <c r="C235"/>
      <c r="D235" s="8"/>
      <c r="E235"/>
      <c r="F235" s="8"/>
      <c r="G235"/>
      <c r="H235" s="8"/>
      <c r="I235"/>
      <c r="J235" s="8"/>
      <c r="K235"/>
    </row>
    <row r="236" spans="2:11" ht="16" x14ac:dyDescent="0.2">
      <c r="B236"/>
      <c r="C236"/>
      <c r="D236" s="8"/>
      <c r="E236"/>
      <c r="F236" s="8"/>
      <c r="G236"/>
      <c r="H236" s="8"/>
      <c r="I236"/>
      <c r="J236" s="8"/>
      <c r="K236"/>
    </row>
    <row r="237" spans="2:11" ht="16" x14ac:dyDescent="0.2">
      <c r="B237"/>
      <c r="C237"/>
      <c r="D237" s="8"/>
      <c r="E237"/>
      <c r="F237" s="8"/>
      <c r="G237"/>
      <c r="H237" s="8"/>
      <c r="I237"/>
      <c r="J237" s="8"/>
      <c r="K237"/>
    </row>
    <row r="238" spans="2:11" ht="16" x14ac:dyDescent="0.2">
      <c r="B238"/>
      <c r="C238"/>
      <c r="D238" s="8"/>
      <c r="E238"/>
      <c r="F238" s="8"/>
      <c r="G238"/>
      <c r="H238" s="8"/>
      <c r="I238"/>
      <c r="J238" s="8"/>
      <c r="K238"/>
    </row>
    <row r="239" spans="2:11" ht="16" x14ac:dyDescent="0.2">
      <c r="B239"/>
      <c r="C239"/>
      <c r="D239" s="8"/>
      <c r="E239"/>
      <c r="F239" s="8"/>
      <c r="G239"/>
      <c r="H239" s="8"/>
      <c r="I239"/>
      <c r="J239" s="8"/>
      <c r="K239"/>
    </row>
    <row r="240" spans="2:11" ht="16" x14ac:dyDescent="0.2">
      <c r="B240"/>
      <c r="C240"/>
      <c r="D240" s="8"/>
      <c r="E240"/>
      <c r="F240" s="8"/>
      <c r="G240"/>
      <c r="H240" s="8"/>
      <c r="I240"/>
      <c r="J240" s="8"/>
      <c r="K240"/>
    </row>
    <row r="241" spans="2:11" ht="16" x14ac:dyDescent="0.2">
      <c r="B241"/>
      <c r="C241"/>
      <c r="D241" s="8"/>
      <c r="E241"/>
      <c r="F241" s="8"/>
      <c r="G241"/>
      <c r="H241" s="8"/>
      <c r="I241"/>
      <c r="J241" s="8"/>
      <c r="K241"/>
    </row>
    <row r="242" spans="2:11" ht="16" x14ac:dyDescent="0.2">
      <c r="B242"/>
      <c r="C242"/>
      <c r="D242" s="8"/>
      <c r="E242"/>
      <c r="F242" s="8"/>
      <c r="G242"/>
      <c r="H242" s="8"/>
      <c r="I242"/>
      <c r="J242" s="8"/>
      <c r="K242"/>
    </row>
    <row r="243" spans="2:11" ht="16" x14ac:dyDescent="0.2">
      <c r="B243"/>
      <c r="C243"/>
      <c r="D243" s="8"/>
      <c r="E243"/>
      <c r="F243" s="8"/>
      <c r="G243"/>
      <c r="H243" s="8"/>
      <c r="I243"/>
      <c r="J243" s="8"/>
      <c r="K243"/>
    </row>
    <row r="244" spans="2:11" ht="16" x14ac:dyDescent="0.2">
      <c r="B244"/>
      <c r="C244"/>
      <c r="D244" s="8"/>
      <c r="E244"/>
      <c r="F244" s="8"/>
      <c r="G244"/>
      <c r="H244" s="8"/>
      <c r="I244"/>
      <c r="J244" s="8"/>
      <c r="K244"/>
    </row>
    <row r="245" spans="2:11" ht="16" x14ac:dyDescent="0.2">
      <c r="B245"/>
      <c r="C245"/>
      <c r="D245" s="8"/>
      <c r="E245"/>
      <c r="F245" s="8"/>
      <c r="G245"/>
      <c r="H245" s="8"/>
      <c r="I245"/>
      <c r="J245" s="8"/>
      <c r="K245"/>
    </row>
    <row r="246" spans="2:11" ht="16" x14ac:dyDescent="0.2">
      <c r="B246"/>
      <c r="C246"/>
      <c r="D246" s="8"/>
      <c r="E246"/>
      <c r="F246" s="8"/>
      <c r="G246"/>
      <c r="H246" s="8"/>
      <c r="I246"/>
      <c r="J246" s="8"/>
      <c r="K246"/>
    </row>
    <row r="247" spans="2:11" ht="16" x14ac:dyDescent="0.2">
      <c r="B247"/>
      <c r="C247"/>
      <c r="D247" s="8"/>
      <c r="E247"/>
      <c r="F247" s="8"/>
      <c r="G247"/>
      <c r="H247" s="8"/>
      <c r="I247"/>
      <c r="J247" s="8"/>
      <c r="K247"/>
    </row>
    <row r="248" spans="2:11" ht="16" x14ac:dyDescent="0.2">
      <c r="B248"/>
      <c r="C248"/>
      <c r="D248" s="8"/>
      <c r="E248"/>
      <c r="F248" s="8"/>
      <c r="G248"/>
      <c r="H248" s="8"/>
      <c r="I248"/>
      <c r="J248" s="8"/>
      <c r="K248"/>
    </row>
    <row r="249" spans="2:11" ht="16" x14ac:dyDescent="0.2">
      <c r="B249"/>
      <c r="C249"/>
      <c r="D249" s="8"/>
      <c r="E249"/>
      <c r="F249" s="8"/>
      <c r="G249"/>
      <c r="H249" s="8"/>
      <c r="I249"/>
      <c r="J249" s="8"/>
      <c r="K249"/>
    </row>
    <row r="250" spans="2:11" ht="16" x14ac:dyDescent="0.2">
      <c r="B250"/>
      <c r="C250"/>
      <c r="D250" s="8"/>
      <c r="E250"/>
      <c r="F250" s="8"/>
      <c r="G250"/>
      <c r="H250" s="8"/>
      <c r="I250"/>
      <c r="J250" s="8"/>
      <c r="K250"/>
    </row>
    <row r="251" spans="2:11" ht="16" x14ac:dyDescent="0.2">
      <c r="B251"/>
      <c r="C251"/>
      <c r="D251" s="8"/>
      <c r="E251"/>
      <c r="F251" s="8"/>
      <c r="G251"/>
      <c r="H251" s="8"/>
      <c r="I251"/>
      <c r="J251" s="8"/>
      <c r="K251"/>
    </row>
    <row r="252" spans="2:11" ht="16" x14ac:dyDescent="0.2">
      <c r="B252"/>
      <c r="C252"/>
      <c r="D252" s="8"/>
      <c r="E252"/>
      <c r="F252" s="8"/>
      <c r="G252"/>
      <c r="H252" s="8"/>
      <c r="I252"/>
      <c r="J252" s="8"/>
      <c r="K252"/>
    </row>
    <row r="253" spans="2:11" ht="16" x14ac:dyDescent="0.2">
      <c r="B253"/>
      <c r="C253"/>
      <c r="D253" s="8"/>
      <c r="E253"/>
      <c r="F253" s="8"/>
      <c r="G253"/>
      <c r="H253" s="8"/>
      <c r="I253"/>
      <c r="J253" s="8"/>
      <c r="K253"/>
    </row>
    <row r="254" spans="2:11" ht="16" x14ac:dyDescent="0.2">
      <c r="B254"/>
      <c r="C254"/>
      <c r="D254" s="8"/>
      <c r="E254"/>
      <c r="F254" s="8"/>
      <c r="G254"/>
      <c r="H254" s="8"/>
      <c r="I254"/>
      <c r="J254" s="8"/>
      <c r="K254"/>
    </row>
    <row r="255" spans="2:11" ht="16" x14ac:dyDescent="0.2">
      <c r="B255"/>
      <c r="C255"/>
      <c r="D255" s="8"/>
      <c r="E255"/>
      <c r="F255" s="8"/>
      <c r="G255"/>
      <c r="H255" s="8"/>
      <c r="I255"/>
      <c r="J255" s="8"/>
      <c r="K255"/>
    </row>
    <row r="256" spans="2:11" ht="16" x14ac:dyDescent="0.2">
      <c r="B256"/>
      <c r="C256"/>
      <c r="D256" s="8"/>
      <c r="E256"/>
      <c r="F256" s="8"/>
      <c r="G256"/>
      <c r="H256" s="8"/>
      <c r="I256"/>
      <c r="J256" s="8"/>
      <c r="K256"/>
    </row>
    <row r="257" spans="2:11" ht="16" x14ac:dyDescent="0.2">
      <c r="B257"/>
      <c r="C257"/>
      <c r="D257" s="8"/>
      <c r="E257"/>
      <c r="F257" s="8"/>
      <c r="G257"/>
      <c r="H257" s="8"/>
      <c r="I257"/>
      <c r="J257" s="8"/>
      <c r="K257"/>
    </row>
    <row r="258" spans="2:11" ht="16" x14ac:dyDescent="0.2">
      <c r="B258"/>
      <c r="C258"/>
      <c r="D258" s="8"/>
      <c r="E258"/>
      <c r="F258" s="8"/>
      <c r="G258"/>
      <c r="H258" s="8"/>
      <c r="I258"/>
      <c r="J258" s="8"/>
      <c r="K258"/>
    </row>
    <row r="259" spans="2:11" ht="16" x14ac:dyDescent="0.2">
      <c r="B259"/>
      <c r="C259"/>
      <c r="D259" s="8"/>
      <c r="E259"/>
      <c r="F259" s="8"/>
      <c r="G259"/>
      <c r="H259" s="8"/>
      <c r="I259"/>
      <c r="J259" s="8"/>
      <c r="K259"/>
    </row>
    <row r="260" spans="2:11" ht="16" x14ac:dyDescent="0.2">
      <c r="B260"/>
      <c r="C260"/>
      <c r="D260" s="8"/>
      <c r="E260"/>
      <c r="F260" s="8"/>
      <c r="G260"/>
      <c r="H260" s="8"/>
      <c r="I260"/>
      <c r="J260" s="8"/>
      <c r="K260"/>
    </row>
    <row r="261" spans="2:11" ht="16" x14ac:dyDescent="0.2">
      <c r="B261"/>
      <c r="C261"/>
      <c r="D261" s="8"/>
      <c r="E261"/>
      <c r="F261" s="8"/>
      <c r="G261"/>
      <c r="H261" s="8"/>
      <c r="I261"/>
      <c r="J261" s="8"/>
      <c r="K261"/>
    </row>
    <row r="262" spans="2:11" ht="16" x14ac:dyDescent="0.2">
      <c r="B262"/>
      <c r="C262"/>
      <c r="D262" s="8"/>
      <c r="E262"/>
      <c r="F262" s="8"/>
      <c r="G262"/>
      <c r="H262" s="8"/>
      <c r="I262"/>
      <c r="J262" s="8"/>
      <c r="K262"/>
    </row>
    <row r="263" spans="2:11" ht="16" x14ac:dyDescent="0.2">
      <c r="B263"/>
      <c r="C263"/>
      <c r="D263" s="8"/>
      <c r="E263"/>
      <c r="F263" s="8"/>
      <c r="G263"/>
      <c r="H263" s="8"/>
      <c r="I263"/>
      <c r="J263" s="8"/>
      <c r="K263"/>
    </row>
    <row r="264" spans="2:11" ht="16" x14ac:dyDescent="0.2">
      <c r="B264"/>
      <c r="C264"/>
      <c r="D264" s="8"/>
      <c r="E264"/>
      <c r="F264" s="8"/>
      <c r="G264"/>
      <c r="H264" s="8"/>
      <c r="I264"/>
      <c r="J264" s="8"/>
      <c r="K264"/>
    </row>
    <row r="265" spans="2:11" ht="16" x14ac:dyDescent="0.2">
      <c r="B265"/>
      <c r="C265"/>
      <c r="D265" s="8"/>
      <c r="E265"/>
      <c r="F265" s="8"/>
      <c r="G265"/>
      <c r="H265" s="8"/>
      <c r="I265"/>
      <c r="J265" s="8"/>
      <c r="K265"/>
    </row>
    <row r="266" spans="2:11" ht="16" x14ac:dyDescent="0.2">
      <c r="B266"/>
      <c r="C266"/>
      <c r="D266" s="8"/>
      <c r="E266"/>
      <c r="F266" s="8"/>
      <c r="G266"/>
      <c r="H266" s="8"/>
      <c r="I266"/>
      <c r="J266" s="8"/>
      <c r="K266"/>
    </row>
    <row r="267" spans="2:11" ht="16" x14ac:dyDescent="0.2">
      <c r="B267"/>
      <c r="C267"/>
      <c r="D267" s="8"/>
      <c r="E267"/>
      <c r="F267" s="8"/>
      <c r="G267"/>
      <c r="H267" s="8"/>
      <c r="I267"/>
      <c r="J267" s="8"/>
      <c r="K267"/>
    </row>
    <row r="268" spans="2:11" ht="16" x14ac:dyDescent="0.2">
      <c r="B268"/>
      <c r="C268"/>
      <c r="D268" s="8"/>
      <c r="E268"/>
      <c r="F268" s="8"/>
      <c r="G268"/>
      <c r="H268" s="8"/>
      <c r="I268"/>
      <c r="J268" s="8"/>
      <c r="K268"/>
    </row>
    <row r="269" spans="2:11" ht="16" x14ac:dyDescent="0.2">
      <c r="B269"/>
      <c r="C269"/>
      <c r="D269" s="8"/>
      <c r="E269"/>
      <c r="F269" s="8"/>
      <c r="G269"/>
      <c r="H269" s="8"/>
      <c r="I269"/>
      <c r="J269" s="8"/>
      <c r="K269"/>
    </row>
    <row r="270" spans="2:11" ht="16" x14ac:dyDescent="0.2">
      <c r="B270"/>
      <c r="C270"/>
      <c r="D270" s="8"/>
      <c r="E270"/>
      <c r="F270" s="8"/>
      <c r="G270"/>
      <c r="H270" s="8"/>
      <c r="I270"/>
      <c r="J270" s="8"/>
      <c r="K270"/>
    </row>
    <row r="271" spans="2:11" ht="16" x14ac:dyDescent="0.2">
      <c r="B271"/>
      <c r="C271"/>
      <c r="D271" s="8"/>
      <c r="E271"/>
      <c r="F271" s="8"/>
      <c r="G271"/>
      <c r="H271" s="8"/>
      <c r="I271"/>
      <c r="J271" s="8"/>
      <c r="K271"/>
    </row>
    <row r="272" spans="2:11" ht="16" x14ac:dyDescent="0.2">
      <c r="B272"/>
      <c r="C272"/>
      <c r="D272" s="8"/>
      <c r="E272"/>
      <c r="F272" s="8"/>
      <c r="G272"/>
      <c r="H272" s="8"/>
      <c r="I272"/>
      <c r="J272" s="8"/>
      <c r="K272"/>
    </row>
    <row r="273" spans="2:11" ht="16" x14ac:dyDescent="0.2">
      <c r="B273"/>
      <c r="C273"/>
      <c r="D273" s="8"/>
      <c r="E273"/>
      <c r="F273" s="8"/>
      <c r="G273"/>
      <c r="H273" s="8"/>
      <c r="I273"/>
      <c r="J273" s="8"/>
      <c r="K273"/>
    </row>
    <row r="274" spans="2:11" ht="16" x14ac:dyDescent="0.2">
      <c r="B274"/>
      <c r="C274"/>
      <c r="D274" s="8"/>
      <c r="E274"/>
      <c r="F274" s="8"/>
      <c r="G274"/>
      <c r="H274" s="8"/>
      <c r="I274"/>
      <c r="J274" s="8"/>
      <c r="K274"/>
    </row>
    <row r="275" spans="2:11" ht="16" x14ac:dyDescent="0.2">
      <c r="B275"/>
      <c r="C275"/>
      <c r="D275" s="8"/>
      <c r="E275"/>
      <c r="F275" s="8"/>
      <c r="G275"/>
      <c r="H275" s="8"/>
      <c r="I275"/>
      <c r="J275" s="8"/>
      <c r="K275"/>
    </row>
    <row r="276" spans="2:11" ht="16" x14ac:dyDescent="0.2">
      <c r="B276"/>
      <c r="C276"/>
      <c r="D276" s="8"/>
      <c r="E276"/>
      <c r="F276" s="8"/>
      <c r="G276"/>
      <c r="H276" s="8"/>
      <c r="I276"/>
      <c r="J276" s="8"/>
      <c r="K276"/>
    </row>
    <row r="277" spans="2:11" ht="16" x14ac:dyDescent="0.2">
      <c r="B277"/>
      <c r="C277"/>
      <c r="D277" s="8"/>
      <c r="E277"/>
      <c r="F277" s="8"/>
      <c r="G277"/>
      <c r="H277" s="8"/>
      <c r="I277"/>
      <c r="J277" s="8"/>
      <c r="K277"/>
    </row>
    <row r="278" spans="2:11" ht="16" x14ac:dyDescent="0.2">
      <c r="B278"/>
      <c r="C278"/>
      <c r="D278" s="8"/>
      <c r="E278"/>
      <c r="F278" s="8"/>
      <c r="G278"/>
      <c r="H278" s="8"/>
      <c r="I278"/>
      <c r="J278" s="8"/>
      <c r="K278"/>
    </row>
    <row r="279" spans="2:11" ht="16" x14ac:dyDescent="0.2">
      <c r="B279"/>
      <c r="C279"/>
      <c r="D279" s="8"/>
      <c r="E279"/>
      <c r="F279" s="8"/>
      <c r="G279"/>
      <c r="H279" s="8"/>
      <c r="I279"/>
      <c r="J279" s="8"/>
      <c r="K279"/>
    </row>
    <row r="280" spans="2:11" ht="16" x14ac:dyDescent="0.2">
      <c r="B280"/>
      <c r="C280"/>
      <c r="D280" s="8"/>
      <c r="E280"/>
      <c r="F280" s="8"/>
      <c r="G280"/>
      <c r="H280" s="8"/>
      <c r="I280"/>
      <c r="J280" s="8"/>
      <c r="K280"/>
    </row>
    <row r="281" spans="2:11" ht="16" x14ac:dyDescent="0.2">
      <c r="B281"/>
      <c r="C281"/>
      <c r="D281" s="8"/>
      <c r="E281"/>
      <c r="F281" s="8"/>
      <c r="G281"/>
      <c r="H281" s="8"/>
      <c r="I281"/>
      <c r="J281" s="8"/>
      <c r="K281"/>
    </row>
    <row r="282" spans="2:11" ht="16" x14ac:dyDescent="0.2">
      <c r="B282"/>
      <c r="C282"/>
      <c r="D282" s="8"/>
      <c r="E282"/>
      <c r="F282" s="8"/>
      <c r="G282"/>
      <c r="H282" s="8"/>
      <c r="I282"/>
      <c r="J282" s="8"/>
      <c r="K282"/>
    </row>
    <row r="283" spans="2:11" ht="16" x14ac:dyDescent="0.2">
      <c r="B283"/>
      <c r="C283"/>
      <c r="D283" s="8"/>
      <c r="E283"/>
      <c r="F283" s="8"/>
      <c r="G283"/>
      <c r="H283" s="8"/>
      <c r="I283"/>
      <c r="J283" s="8"/>
      <c r="K283"/>
    </row>
    <row r="284" spans="2:11" ht="16" x14ac:dyDescent="0.2">
      <c r="B284"/>
      <c r="C284"/>
      <c r="D284" s="8"/>
      <c r="E284"/>
      <c r="F284" s="8"/>
      <c r="G284"/>
      <c r="H284" s="8"/>
      <c r="I284"/>
      <c r="J284" s="8"/>
      <c r="K284"/>
    </row>
    <row r="285" spans="2:11" ht="16" x14ac:dyDescent="0.2">
      <c r="B285"/>
      <c r="C285"/>
      <c r="D285" s="8"/>
      <c r="E285"/>
      <c r="F285" s="8"/>
      <c r="G285"/>
      <c r="H285" s="8"/>
      <c r="I285"/>
      <c r="J285" s="8"/>
      <c r="K285"/>
    </row>
    <row r="286" spans="2:11" ht="16" x14ac:dyDescent="0.2">
      <c r="B286"/>
      <c r="C286"/>
      <c r="D286" s="8"/>
      <c r="E286"/>
      <c r="F286" s="8"/>
      <c r="G286"/>
      <c r="H286" s="8"/>
      <c r="I286"/>
      <c r="J286" s="8"/>
      <c r="K286"/>
    </row>
    <row r="287" spans="2:11" ht="16" x14ac:dyDescent="0.2">
      <c r="B287"/>
      <c r="C287"/>
      <c r="D287" s="8"/>
      <c r="E287"/>
      <c r="F287" s="8"/>
      <c r="G287"/>
      <c r="H287" s="8"/>
      <c r="I287"/>
      <c r="J287" s="8"/>
      <c r="K287"/>
    </row>
    <row r="288" spans="2:11" ht="16" x14ac:dyDescent="0.2">
      <c r="B288"/>
      <c r="C288"/>
      <c r="D288" s="8"/>
      <c r="E288"/>
      <c r="F288" s="8"/>
      <c r="G288"/>
      <c r="H288" s="8"/>
      <c r="I288"/>
      <c r="J288" s="8"/>
      <c r="K288"/>
    </row>
    <row r="289" spans="2:11" ht="16" x14ac:dyDescent="0.2">
      <c r="B289"/>
      <c r="C289"/>
      <c r="D289" s="8"/>
      <c r="E289"/>
      <c r="F289" s="8"/>
      <c r="G289"/>
      <c r="H289" s="8"/>
      <c r="I289"/>
      <c r="J289" s="8"/>
      <c r="K289"/>
    </row>
    <row r="290" spans="2:11" ht="16" x14ac:dyDescent="0.2">
      <c r="B290"/>
      <c r="C290"/>
      <c r="D290" s="8"/>
      <c r="E290"/>
      <c r="F290" s="8"/>
      <c r="G290"/>
      <c r="H290" s="8"/>
      <c r="I290"/>
      <c r="J290" s="8"/>
      <c r="K290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1CAA-3535-495B-AB27-A20AA12C5B8E}">
  <dimension ref="A1:M47"/>
  <sheetViews>
    <sheetView showGridLines="0" zoomScale="72" workbookViewId="0">
      <selection activeCell="N33" sqref="N33"/>
    </sheetView>
  </sheetViews>
  <sheetFormatPr baseColWidth="10" defaultColWidth="8.6640625" defaultRowHeight="16" x14ac:dyDescent="0.2"/>
  <cols>
    <col min="3" max="4" width="20.6640625" customWidth="1"/>
    <col min="5" max="5" width="16.1640625" bestFit="1" customWidth="1"/>
    <col min="6" max="6" width="10.6640625" bestFit="1" customWidth="1"/>
    <col min="7" max="7" width="9.1640625" bestFit="1" customWidth="1"/>
    <col min="8" max="12" width="11.1640625" bestFit="1" customWidth="1"/>
  </cols>
  <sheetData>
    <row r="1" spans="1:13" ht="17" thickBot="1" x14ac:dyDescent="0.25"/>
    <row r="2" spans="1:13" ht="17" thickBot="1" x14ac:dyDescent="0.25">
      <c r="C2" s="65" t="s">
        <v>53</v>
      </c>
      <c r="D2" s="65" t="s">
        <v>54</v>
      </c>
      <c r="E2" s="65" t="s">
        <v>55</v>
      </c>
      <c r="H2" s="79" t="s">
        <v>73</v>
      </c>
      <c r="I2" s="80"/>
      <c r="J2" s="80"/>
      <c r="K2" s="80"/>
      <c r="L2" s="81"/>
    </row>
    <row r="3" spans="1:13" x14ac:dyDescent="0.2">
      <c r="B3" s="65" t="s">
        <v>1</v>
      </c>
      <c r="C3" s="137">
        <f>AVERAGE(SPY_4A)</f>
        <v>8.0059016412121226E-3</v>
      </c>
      <c r="D3" s="138" cm="1">
        <f t="array" ref="D3">(PRODUCT(1+SPY_4A))^(1/COUNT(SPY_4A))-1</f>
        <v>7.0283463187024164E-3</v>
      </c>
      <c r="E3" s="139">
        <f>_xlfn.STDEV.S(SPY_4A)</f>
        <v>4.4020336558348923E-2</v>
      </c>
      <c r="H3" s="60" t="s">
        <v>56</v>
      </c>
      <c r="I3" s="55" t="s">
        <v>63</v>
      </c>
      <c r="J3" s="55" t="s">
        <v>64</v>
      </c>
      <c r="K3" s="55" t="s">
        <v>78</v>
      </c>
      <c r="L3" s="61" t="s">
        <v>79</v>
      </c>
    </row>
    <row r="4" spans="1:13" ht="17" thickBot="1" x14ac:dyDescent="0.25">
      <c r="B4" s="65" t="s">
        <v>2</v>
      </c>
      <c r="C4" s="140">
        <f>AVERAGE(A_4A)</f>
        <v>1.1451661267061814E-2</v>
      </c>
      <c r="D4" s="141" cm="1">
        <f t="array" ref="D4">(PRODUCT(1+A_4A))^(1/COUNT(A_4A))-1</f>
        <v>7.9168027515985617E-3</v>
      </c>
      <c r="E4" s="88">
        <f>_xlfn.STDEV.S(A_4A)</f>
        <v>8.4360678960516022E-2</v>
      </c>
      <c r="H4" s="62">
        <f>1%/12</f>
        <v>8.3333333333333339E-4</v>
      </c>
      <c r="I4" s="129">
        <v>0.76365491873038038</v>
      </c>
      <c r="J4" s="129">
        <v>6.8311353553276333E-2</v>
      </c>
      <c r="K4" s="129">
        <v>2.7609596126832156E-2</v>
      </c>
      <c r="L4" s="130">
        <v>0.14042413158951106</v>
      </c>
      <c r="M4">
        <f>SUM(I4:L4)</f>
        <v>0.99999999999999989</v>
      </c>
    </row>
    <row r="5" spans="1:13" ht="17" thickBot="1" x14ac:dyDescent="0.25">
      <c r="B5" s="65" t="s">
        <v>3</v>
      </c>
      <c r="C5" s="140">
        <f>AVERAGE(MMM_4A)</f>
        <v>8.0216584947964634E-3</v>
      </c>
      <c r="D5" s="141" cm="1">
        <f t="array" ref="D5">(PRODUCT(1+MMM_4A))^(1/COUNT(MMM_4A))-1</f>
        <v>6.0186519742853051E-3</v>
      </c>
      <c r="E5" s="88">
        <f>_xlfn.STDEV.S(MMM_4A)</f>
        <v>6.3531939811924232E-2</v>
      </c>
    </row>
    <row r="6" spans="1:13" ht="17" thickBot="1" x14ac:dyDescent="0.25">
      <c r="B6" s="65" t="s">
        <v>4</v>
      </c>
      <c r="C6" s="142">
        <f>AVERAGE(SLV_4A)</f>
        <v>8.9298086015243243E-3</v>
      </c>
      <c r="D6" s="143" cm="1">
        <f t="array" ref="D6">(PRODUCT(1+SLV_4A))^(1/COUNT(SLV_4A))-1</f>
        <v>4.9084562080461414E-3</v>
      </c>
      <c r="E6" s="90">
        <f>_xlfn.STDEV.S(SLV_4A)</f>
        <v>9.0426014492104911E-2</v>
      </c>
      <c r="J6" s="57" t="s">
        <v>81</v>
      </c>
      <c r="K6" s="58" t="s">
        <v>82</v>
      </c>
      <c r="L6" s="59" t="s">
        <v>61</v>
      </c>
    </row>
    <row r="7" spans="1:13" ht="17" thickBot="1" x14ac:dyDescent="0.25">
      <c r="J7" s="29">
        <f>SQRT(SUM(C25:F28))</f>
        <v>4.4109017574638358E-2</v>
      </c>
      <c r="K7" s="63">
        <f>I4*C3+J4*C4+K4*C5+L4*C6</f>
        <v>8.3714600182081839E-3</v>
      </c>
      <c r="L7" s="66">
        <f>(K7-H4)/J7</f>
        <v>0.17089763271465594</v>
      </c>
    </row>
    <row r="8" spans="1:13" ht="17" thickBot="1" x14ac:dyDescent="0.25"/>
    <row r="9" spans="1:13" ht="17" thickBot="1" x14ac:dyDescent="0.25">
      <c r="A9" t="s">
        <v>86</v>
      </c>
      <c r="C9" s="42" t="s">
        <v>1</v>
      </c>
      <c r="D9" s="42" t="s">
        <v>2</v>
      </c>
      <c r="E9" s="42" t="s">
        <v>3</v>
      </c>
      <c r="F9" s="42" t="s">
        <v>4</v>
      </c>
      <c r="H9" s="79" t="s">
        <v>74</v>
      </c>
      <c r="I9" s="80"/>
      <c r="J9" s="80"/>
      <c r="K9" s="80"/>
      <c r="L9" s="81"/>
    </row>
    <row r="10" spans="1:13" x14ac:dyDescent="0.2">
      <c r="B10" s="42" t="s">
        <v>1</v>
      </c>
      <c r="C10" s="24">
        <f>CORREL(SPY_4A,SPY_4A)</f>
        <v>0.99999999999999989</v>
      </c>
      <c r="D10" s="25">
        <f>CORREL(A_4A,SPY_4A)</f>
        <v>0.68014066244640214</v>
      </c>
      <c r="E10" s="25">
        <f>CORREL(SPY_4A,MMM_4A)</f>
        <v>0.65863400685036466</v>
      </c>
      <c r="F10" s="26">
        <f>CORREL(SPY_4A,SLV_4A)</f>
        <v>0.26487429449406569</v>
      </c>
      <c r="H10" s="60" t="s">
        <v>56</v>
      </c>
      <c r="I10" s="55" t="s">
        <v>63</v>
      </c>
      <c r="J10" s="55" t="s">
        <v>64</v>
      </c>
      <c r="K10" s="55" t="s">
        <v>78</v>
      </c>
      <c r="L10" s="61" t="s">
        <v>79</v>
      </c>
    </row>
    <row r="11" spans="1:13" ht="17" thickBot="1" x14ac:dyDescent="0.25">
      <c r="B11" s="42" t="s">
        <v>2</v>
      </c>
      <c r="C11" s="27">
        <f>CORREL(A_4A,SPY_4A)</f>
        <v>0.68014066244640214</v>
      </c>
      <c r="D11" s="23">
        <v>1</v>
      </c>
      <c r="E11">
        <f>CORREL(A_4A,MMM_4A)</f>
        <v>0.61400623201602156</v>
      </c>
      <c r="F11" s="28">
        <f>CORREL(A_4A,SLV_4A)</f>
        <v>0.21918148254265893</v>
      </c>
      <c r="H11" s="64">
        <f>1%/12</f>
        <v>8.3333333333333339E-4</v>
      </c>
      <c r="I11" s="131">
        <v>0.97139826040772559</v>
      </c>
      <c r="J11" s="131">
        <v>0</v>
      </c>
      <c r="K11" s="131">
        <v>0</v>
      </c>
      <c r="L11" s="132">
        <v>2.8601739592274321E-2</v>
      </c>
      <c r="M11">
        <f>SUM(I11:L11)</f>
        <v>0.99999999999999989</v>
      </c>
    </row>
    <row r="12" spans="1:13" ht="17" thickBot="1" x14ac:dyDescent="0.25">
      <c r="B12" s="42" t="s">
        <v>3</v>
      </c>
      <c r="C12" s="27">
        <f>CORREL(MMM_4A,SPY_4A)</f>
        <v>0.65863400685036466</v>
      </c>
      <c r="D12">
        <f>CORREL(A_4A,MMM_4A)</f>
        <v>0.61400623201602156</v>
      </c>
      <c r="E12" s="23">
        <v>1</v>
      </c>
      <c r="F12" s="28">
        <f>CORREL(MMM_4A,SLV_4A)</f>
        <v>0.13936159887164221</v>
      </c>
    </row>
    <row r="13" spans="1:13" ht="17" thickBot="1" x14ac:dyDescent="0.25">
      <c r="B13" s="42" t="s">
        <v>4</v>
      </c>
      <c r="C13" s="29">
        <f>CORREL(SLV_4A,SPY_4A)</f>
        <v>0.26487429449406569</v>
      </c>
      <c r="D13" s="30">
        <f>CORREL(SLV_4A,A_4A)</f>
        <v>0.21918148254265893</v>
      </c>
      <c r="E13" s="30">
        <f>CORREL(SLV_4A,MMM_4A)</f>
        <v>0.13936159887164221</v>
      </c>
      <c r="F13" s="31">
        <v>1</v>
      </c>
      <c r="J13" s="57" t="s">
        <v>75</v>
      </c>
      <c r="K13" s="58" t="s">
        <v>82</v>
      </c>
      <c r="L13" s="59" t="s">
        <v>61</v>
      </c>
    </row>
    <row r="14" spans="1:13" ht="17" thickBot="1" x14ac:dyDescent="0.25">
      <c r="J14" s="29">
        <f>SQRT(SUM(C34:F37))</f>
        <v>4.3517855777773853E-2</v>
      </c>
      <c r="K14" s="30">
        <f>I11*D3+J11*D4+K11*D5+L11*D6</f>
        <v>6.9677137737931879E-3</v>
      </c>
      <c r="L14" s="39">
        <f>(K14-H11)/J14</f>
        <v>0.14096237810487219</v>
      </c>
    </row>
    <row r="15" spans="1:13" x14ac:dyDescent="0.2">
      <c r="C15" s="36">
        <f>E3</f>
        <v>4.4020336558348923E-2</v>
      </c>
      <c r="D15" s="36">
        <f>E4</f>
        <v>8.4360678960516022E-2</v>
      </c>
      <c r="E15" s="37">
        <f>E5</f>
        <v>6.3531939811924232E-2</v>
      </c>
      <c r="F15" s="36">
        <f>E6</f>
        <v>9.0426014492104911E-2</v>
      </c>
    </row>
    <row r="16" spans="1:13" ht="17" thickBot="1" x14ac:dyDescent="0.25">
      <c r="A16" t="s">
        <v>76</v>
      </c>
      <c r="C16" s="42" t="s">
        <v>1</v>
      </c>
      <c r="D16" s="42" t="s">
        <v>2</v>
      </c>
      <c r="E16" s="42" t="s">
        <v>3</v>
      </c>
      <c r="F16" s="42" t="s">
        <v>4</v>
      </c>
    </row>
    <row r="17" spans="1:12" x14ac:dyDescent="0.2">
      <c r="B17" s="42" t="s">
        <v>1</v>
      </c>
      <c r="C17" s="24">
        <f>C10*C$15*$A18</f>
        <v>1.9377900307103104E-3</v>
      </c>
      <c r="D17" s="25">
        <f>D10*D$15*$A18</f>
        <v>2.5257604885088225E-3</v>
      </c>
      <c r="E17" s="25">
        <f>E10*E$15*$A18</f>
        <v>1.8419999965461969E-3</v>
      </c>
      <c r="F17" s="26">
        <f>F10*F$15*$A18</f>
        <v>1.0543542704924453E-3</v>
      </c>
      <c r="H17" s="85" t="s">
        <v>101</v>
      </c>
      <c r="I17" s="103"/>
      <c r="J17" s="103"/>
      <c r="K17" s="86"/>
    </row>
    <row r="18" spans="1:12" x14ac:dyDescent="0.2">
      <c r="A18" s="36">
        <f>E3</f>
        <v>4.4020336558348923E-2</v>
      </c>
      <c r="B18" s="42" t="s">
        <v>2</v>
      </c>
      <c r="C18" s="27">
        <f>C11*C$15*$A19</f>
        <v>2.5257604885088221E-3</v>
      </c>
      <c r="D18" s="23">
        <f>D11*D$15*$A19</f>
        <v>7.1167241546792508E-3</v>
      </c>
      <c r="E18">
        <f>E11*E$15*$A19</f>
        <v>3.2908263141204924E-3</v>
      </c>
      <c r="F18" s="28">
        <f>F11*F$15*$A19</f>
        <v>1.6720040166606593E-3</v>
      </c>
      <c r="H18" s="60" t="s">
        <v>56</v>
      </c>
      <c r="I18" s="82" t="s">
        <v>63</v>
      </c>
      <c r="J18" s="82" t="s">
        <v>64</v>
      </c>
      <c r="K18" s="61" t="s">
        <v>78</v>
      </c>
    </row>
    <row r="19" spans="1:12" ht="17" thickBot="1" x14ac:dyDescent="0.25">
      <c r="A19" s="36">
        <f>E4</f>
        <v>8.4360678960516022E-2</v>
      </c>
      <c r="B19" s="42" t="s">
        <v>3</v>
      </c>
      <c r="C19" s="27">
        <f>C12*C$15*$A20</f>
        <v>1.8419999965461969E-3</v>
      </c>
      <c r="D19">
        <f>D12*D$15*$A20</f>
        <v>3.2908263141204924E-3</v>
      </c>
      <c r="E19" s="23">
        <f>E12*E$15*$A20</f>
        <v>4.0363073762659631E-3</v>
      </c>
      <c r="F19" s="28">
        <f>F12*F$15*$A20</f>
        <v>8.0062403917157939E-4</v>
      </c>
      <c r="H19" s="64">
        <f>1%/12</f>
        <v>8.3333333333333339E-4</v>
      </c>
      <c r="I19" s="131">
        <v>0.90025658839766554</v>
      </c>
      <c r="J19" s="131">
        <v>8.9743189689429084E-2</v>
      </c>
      <c r="K19" s="132">
        <v>1.0000238282461504E-2</v>
      </c>
      <c r="L19">
        <f>SUM(I19:K19)</f>
        <v>1.0000000163695562</v>
      </c>
    </row>
    <row r="20" spans="1:12" ht="17" thickBot="1" x14ac:dyDescent="0.25">
      <c r="A20" s="36">
        <f>E5</f>
        <v>6.3531939811924232E-2</v>
      </c>
      <c r="B20" s="42" t="s">
        <v>4</v>
      </c>
      <c r="C20" s="29">
        <f>C13*C$15*$A21</f>
        <v>1.0543542704924453E-3</v>
      </c>
      <c r="D20" s="30">
        <f>D13*D$15*$A21</f>
        <v>1.6720040166606591E-3</v>
      </c>
      <c r="E20" s="30">
        <f>E13*E$15*$A21</f>
        <v>8.0062403917157939E-4</v>
      </c>
      <c r="F20" s="31">
        <f>F13*F$15*$A21</f>
        <v>8.1768640969263669E-3</v>
      </c>
    </row>
    <row r="21" spans="1:12" x14ac:dyDescent="0.2">
      <c r="A21" s="36">
        <f>E6</f>
        <v>9.0426014492104911E-2</v>
      </c>
      <c r="J21" s="57" t="s">
        <v>75</v>
      </c>
      <c r="K21" s="58" t="s">
        <v>82</v>
      </c>
      <c r="L21" s="59" t="s">
        <v>61</v>
      </c>
    </row>
    <row r="22" spans="1:12" ht="17" thickBot="1" x14ac:dyDescent="0.25">
      <c r="J22" s="29">
        <f>SQRT(SUM(C43:E45))</f>
        <v>4.5556784147455356E-2</v>
      </c>
      <c r="K22" s="30">
        <f>I19*C3+J19*C4+K19*C5</f>
        <v>8.3152928042824099E-3</v>
      </c>
      <c r="L22" s="39">
        <f>(K22-H19)/J22</f>
        <v>0.16423370549448654</v>
      </c>
    </row>
    <row r="23" spans="1:12" x14ac:dyDescent="0.2">
      <c r="A23" t="s">
        <v>100</v>
      </c>
      <c r="C23" s="36">
        <f>I4</f>
        <v>0.76365491873038038</v>
      </c>
      <c r="D23" s="36">
        <f>J4</f>
        <v>6.8311353553276333E-2</v>
      </c>
      <c r="E23" s="36">
        <f>K4</f>
        <v>2.7609596126832156E-2</v>
      </c>
      <c r="F23" s="36">
        <f>L4</f>
        <v>0.14042413158951106</v>
      </c>
    </row>
    <row r="24" spans="1:12" ht="17" thickBot="1" x14ac:dyDescent="0.25">
      <c r="C24" s="42" t="s">
        <v>1</v>
      </c>
      <c r="D24" s="42" t="s">
        <v>2</v>
      </c>
      <c r="E24" s="42" t="s">
        <v>3</v>
      </c>
      <c r="F24" s="42" t="s">
        <v>4</v>
      </c>
    </row>
    <row r="25" spans="1:12" x14ac:dyDescent="0.2">
      <c r="B25" s="42" t="s">
        <v>1</v>
      </c>
      <c r="C25" s="44">
        <f>C17*C$23*$A26</f>
        <v>1.1300587544923058E-3</v>
      </c>
      <c r="D25" s="45">
        <f>D17*D$23*$A26</f>
        <v>1.3175958226644541E-4</v>
      </c>
      <c r="E25" s="45">
        <f>E17*E$23*$A26</f>
        <v>3.883710348595507E-5</v>
      </c>
      <c r="F25" s="46">
        <f>F17*F$23*$A26</f>
        <v>1.13064290453106E-4</v>
      </c>
    </row>
    <row r="26" spans="1:12" x14ac:dyDescent="0.2">
      <c r="A26" s="40">
        <f>I4</f>
        <v>0.76365491873038038</v>
      </c>
      <c r="B26" s="42" t="s">
        <v>2</v>
      </c>
      <c r="C26" s="47">
        <f>C18*C$23*$A27</f>
        <v>1.3175958226644538E-4</v>
      </c>
      <c r="D26" s="43">
        <f>D18*D$23*$A27</f>
        <v>3.3209773553884779E-5</v>
      </c>
      <c r="E26" s="41">
        <f>E18*E$23*$A27</f>
        <v>6.2066592921932636E-6</v>
      </c>
      <c r="F26" s="48">
        <f>F18*F$23*$A27</f>
        <v>1.603880303077549E-5</v>
      </c>
    </row>
    <row r="27" spans="1:12" x14ac:dyDescent="0.2">
      <c r="A27" s="40">
        <f>J4</f>
        <v>6.8311353553276333E-2</v>
      </c>
      <c r="B27" s="42" t="s">
        <v>3</v>
      </c>
      <c r="C27" s="47">
        <f>C19*C$23*$A28</f>
        <v>3.883710348595507E-5</v>
      </c>
      <c r="D27" s="41">
        <f>D19*D$23*$A28</f>
        <v>6.2066592921932636E-6</v>
      </c>
      <c r="E27" s="43">
        <f>E19*E$23*$A28</f>
        <v>3.0768359356772443E-6</v>
      </c>
      <c r="F27" s="48">
        <f>F19*F$23*$A28</f>
        <v>3.1040622810095583E-6</v>
      </c>
    </row>
    <row r="28" spans="1:12" ht="17" thickBot="1" x14ac:dyDescent="0.25">
      <c r="A28" s="40">
        <f>K4</f>
        <v>2.7609596126832156E-2</v>
      </c>
      <c r="B28" s="42" t="s">
        <v>4</v>
      </c>
      <c r="C28" s="49">
        <f>C20*C$23*$A29</f>
        <v>1.13064290453106E-4</v>
      </c>
      <c r="D28" s="50">
        <f>D20*D$23*$A29</f>
        <v>1.6038803030775486E-5</v>
      </c>
      <c r="E28" s="50">
        <f>E20*E$23*$A29</f>
        <v>3.1040622810095583E-6</v>
      </c>
      <c r="F28" s="51">
        <f>F20*F$23*$A29</f>
        <v>1.612390657989181E-4</v>
      </c>
    </row>
    <row r="29" spans="1:12" x14ac:dyDescent="0.2">
      <c r="A29" s="40">
        <f>L4</f>
        <v>0.14042413158951106</v>
      </c>
    </row>
    <row r="32" spans="1:12" x14ac:dyDescent="0.2">
      <c r="A32" t="s">
        <v>85</v>
      </c>
      <c r="C32" s="36">
        <f>I11</f>
        <v>0.97139826040772559</v>
      </c>
      <c r="D32" s="36">
        <f>J11</f>
        <v>0</v>
      </c>
      <c r="E32" s="36">
        <f>K11</f>
        <v>0</v>
      </c>
      <c r="F32" s="36">
        <f>L11</f>
        <v>2.8601739592274321E-2</v>
      </c>
    </row>
    <row r="33" spans="1:6" ht="17" thickBot="1" x14ac:dyDescent="0.25">
      <c r="C33" s="42" t="s">
        <v>1</v>
      </c>
      <c r="D33" s="42" t="s">
        <v>2</v>
      </c>
      <c r="E33" s="42" t="s">
        <v>3</v>
      </c>
      <c r="F33" s="42" t="s">
        <v>4</v>
      </c>
    </row>
    <row r="34" spans="1:6" x14ac:dyDescent="0.2">
      <c r="B34" s="42" t="s">
        <v>1</v>
      </c>
      <c r="C34" s="44">
        <f>C17*C$32*$A35</f>
        <v>1.8285269265831041E-3</v>
      </c>
      <c r="D34" s="45">
        <f>D17*D$32*$A35</f>
        <v>0</v>
      </c>
      <c r="E34" s="45">
        <f>E17*E$32*$A35</f>
        <v>0</v>
      </c>
      <c r="F34" s="46">
        <f>F17*F$32*$A35</f>
        <v>2.9293841747162331E-5</v>
      </c>
    </row>
    <row r="35" spans="1:6" x14ac:dyDescent="0.2">
      <c r="A35" s="40">
        <f>I11</f>
        <v>0.97139826040772559</v>
      </c>
      <c r="B35" s="42" t="s">
        <v>2</v>
      </c>
      <c r="C35" s="47">
        <f>C18*C$32*$A36</f>
        <v>0</v>
      </c>
      <c r="D35" s="43">
        <f>D18*D$32*$A36</f>
        <v>0</v>
      </c>
      <c r="E35" s="41">
        <f>E18*E$32*$A36</f>
        <v>0</v>
      </c>
      <c r="F35" s="48">
        <f>F18*F$32*$A36</f>
        <v>0</v>
      </c>
    </row>
    <row r="36" spans="1:6" x14ac:dyDescent="0.2">
      <c r="A36" s="40">
        <f>J11</f>
        <v>0</v>
      </c>
      <c r="B36" s="42" t="s">
        <v>3</v>
      </c>
      <c r="C36" s="47">
        <f>C19*C$32*$A37</f>
        <v>0</v>
      </c>
      <c r="D36" s="41">
        <f>D19*D$32*$A37</f>
        <v>0</v>
      </c>
      <c r="E36" s="43">
        <f>E19*E$32*$A37</f>
        <v>0</v>
      </c>
      <c r="F36" s="48">
        <f>F19*F$32*$A37</f>
        <v>0</v>
      </c>
    </row>
    <row r="37" spans="1:6" ht="17" thickBot="1" x14ac:dyDescent="0.25">
      <c r="A37" s="40">
        <f>K11</f>
        <v>0</v>
      </c>
      <c r="B37" s="42" t="s">
        <v>4</v>
      </c>
      <c r="C37" s="49">
        <f>C20*C$32*$A38</f>
        <v>2.9293841747162328E-5</v>
      </c>
      <c r="D37" s="50">
        <f>D20*D$32*$A38</f>
        <v>0</v>
      </c>
      <c r="E37" s="50">
        <f>E20*E$32*$A38</f>
        <v>0</v>
      </c>
      <c r="F37" s="51">
        <f>F20*F$32*$A38</f>
        <v>6.6891614176963241E-6</v>
      </c>
    </row>
    <row r="38" spans="1:6" x14ac:dyDescent="0.2">
      <c r="A38" s="40">
        <f>L11</f>
        <v>2.8601739592274321E-2</v>
      </c>
    </row>
    <row r="41" spans="1:6" x14ac:dyDescent="0.2">
      <c r="A41" t="s">
        <v>99</v>
      </c>
      <c r="C41" s="36">
        <f>I19</f>
        <v>0.90025658839766554</v>
      </c>
      <c r="D41" s="36">
        <f>J19</f>
        <v>8.9743189689429084E-2</v>
      </c>
      <c r="E41" s="36">
        <f>K19</f>
        <v>1.0000238282461504E-2</v>
      </c>
      <c r="F41" s="36"/>
    </row>
    <row r="42" spans="1:6" ht="17" thickBot="1" x14ac:dyDescent="0.25">
      <c r="C42" s="42" t="s">
        <v>1</v>
      </c>
      <c r="D42" s="42" t="s">
        <v>2</v>
      </c>
      <c r="E42" s="42" t="s">
        <v>3</v>
      </c>
    </row>
    <row r="43" spans="1:6" x14ac:dyDescent="0.2">
      <c r="B43" s="42" t="s">
        <v>1</v>
      </c>
      <c r="C43" s="44">
        <f>C17*C$41*$A44</f>
        <v>1.5705050384449935E-3</v>
      </c>
      <c r="D43" s="45">
        <f>D17*D$41*$A44</f>
        <v>2.0406098320873716E-4</v>
      </c>
      <c r="E43" s="46">
        <f>E17*E$41*$A44</f>
        <v>1.6583121464476678E-5</v>
      </c>
    </row>
    <row r="44" spans="1:6" x14ac:dyDescent="0.2">
      <c r="A44" s="40">
        <f>I19</f>
        <v>0.90025658839766554</v>
      </c>
      <c r="B44" s="42" t="s">
        <v>2</v>
      </c>
      <c r="C44" s="47">
        <f>C18*C$41*$A45</f>
        <v>2.0406098320873713E-4</v>
      </c>
      <c r="D44" s="83">
        <f>D18*D$41*$A45</f>
        <v>5.7316958346514557E-5</v>
      </c>
      <c r="E44" s="48">
        <f>E18*E$41*$A45</f>
        <v>2.953362873211479E-6</v>
      </c>
    </row>
    <row r="45" spans="1:6" ht="17" thickBot="1" x14ac:dyDescent="0.25">
      <c r="A45" s="40">
        <f>J19</f>
        <v>8.9743189689429084E-2</v>
      </c>
      <c r="B45" s="42" t="s">
        <v>3</v>
      </c>
      <c r="C45" s="49">
        <f>C19*C$41*$A46</f>
        <v>1.6583121464476678E-5</v>
      </c>
      <c r="D45" s="50">
        <f>D19*D$41*$A46</f>
        <v>2.953362873211479E-6</v>
      </c>
      <c r="E45" s="51">
        <f>E19*E$41*$A46</f>
        <v>4.0364997348091195E-7</v>
      </c>
    </row>
    <row r="46" spans="1:6" x14ac:dyDescent="0.2">
      <c r="A46" s="40">
        <f>K19</f>
        <v>1.0000238282461504E-2</v>
      </c>
    </row>
    <row r="47" spans="1:6" x14ac:dyDescent="0.2">
      <c r="A47" s="40"/>
    </row>
  </sheetData>
  <mergeCells count="3">
    <mergeCell ref="H2:L2"/>
    <mergeCell ref="H9:L9"/>
    <mergeCell ref="H17:K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96E3-1451-4ED1-A40C-386D7EB50897}">
  <dimension ref="B3:G19"/>
  <sheetViews>
    <sheetView showGridLines="0" workbookViewId="0">
      <selection activeCell="K17" sqref="K17"/>
    </sheetView>
  </sheetViews>
  <sheetFormatPr baseColWidth="10" defaultColWidth="11.1640625" defaultRowHeight="16" x14ac:dyDescent="0.2"/>
  <cols>
    <col min="4" max="4" width="11.83203125" bestFit="1" customWidth="1"/>
    <col min="7" max="8" width="11.83203125" bestFit="1" customWidth="1"/>
    <col min="9" max="9" width="11.6640625" bestFit="1" customWidth="1"/>
  </cols>
  <sheetData>
    <row r="3" spans="2:7" ht="17" thickBot="1" x14ac:dyDescent="0.25">
      <c r="B3" s="84" t="s">
        <v>102</v>
      </c>
      <c r="C3" s="84" t="s">
        <v>89</v>
      </c>
      <c r="D3" s="84" t="s">
        <v>60</v>
      </c>
      <c r="E3" s="84" t="s">
        <v>61</v>
      </c>
    </row>
    <row r="4" spans="2:7" x14ac:dyDescent="0.2">
      <c r="B4" s="94" t="s">
        <v>1</v>
      </c>
      <c r="C4" s="95">
        <f>'Markowitz II'!E3</f>
        <v>4.4020336558348923E-2</v>
      </c>
      <c r="D4" s="95">
        <f>'Markowitz II'!C3</f>
        <v>8.0059016412121226E-3</v>
      </c>
      <c r="E4" s="96">
        <f>(D4-$C$11)/C4</f>
        <v>0.16293760722096151</v>
      </c>
      <c r="G4" s="8"/>
    </row>
    <row r="5" spans="2:7" x14ac:dyDescent="0.2">
      <c r="B5" s="97" t="s">
        <v>2</v>
      </c>
      <c r="C5" s="98">
        <f>'Markowitz II'!E4</f>
        <v>8.4360678960516022E-2</v>
      </c>
      <c r="D5" s="98">
        <f>'Markowitz II'!C4</f>
        <v>1.1451661267061814E-2</v>
      </c>
      <c r="E5" s="99">
        <f>(D5-$C$11)/C5</f>
        <v>0.12586821330229286</v>
      </c>
      <c r="G5" s="8"/>
    </row>
    <row r="6" spans="2:7" x14ac:dyDescent="0.2">
      <c r="B6" s="97" t="s">
        <v>3</v>
      </c>
      <c r="C6" s="98">
        <f>'Markowitz II'!E5</f>
        <v>6.3531939811924232E-2</v>
      </c>
      <c r="D6" s="98">
        <f>'Markowitz II'!C5</f>
        <v>8.0216584947964634E-3</v>
      </c>
      <c r="E6" s="99">
        <f>(D6-$C$11)/C6</f>
        <v>0.11314506030735051</v>
      </c>
      <c r="G6" s="8"/>
    </row>
    <row r="7" spans="2:7" x14ac:dyDescent="0.2">
      <c r="B7" s="97" t="s">
        <v>4</v>
      </c>
      <c r="C7" s="98">
        <f>'Markowitz II'!E6</f>
        <v>9.0426014492104911E-2</v>
      </c>
      <c r="D7" s="98">
        <f>'Markowitz II'!C6</f>
        <v>8.9298086015243243E-3</v>
      </c>
      <c r="E7" s="99">
        <f>(D7-$C$11)/C7</f>
        <v>8.9537013365748791E-2</v>
      </c>
      <c r="G7" s="8"/>
    </row>
    <row r="8" spans="2:7" x14ac:dyDescent="0.2">
      <c r="B8" s="97" t="s">
        <v>96</v>
      </c>
      <c r="C8" s="98">
        <f>'Markowitz II'!J7</f>
        <v>4.4109017574638358E-2</v>
      </c>
      <c r="D8" s="98">
        <f>'Markowitz II'!K7</f>
        <v>8.3714600182081839E-3</v>
      </c>
      <c r="E8" s="99">
        <f>(D8-$C$11)/C8</f>
        <v>0.17089763271465594</v>
      </c>
      <c r="G8" s="8"/>
    </row>
    <row r="9" spans="2:7" ht="17" thickBot="1" x14ac:dyDescent="0.25">
      <c r="B9" s="100" t="s">
        <v>97</v>
      </c>
      <c r="C9" s="101">
        <f>'Markowitz II'!J22</f>
        <v>4.5556784147455356E-2</v>
      </c>
      <c r="D9" s="101">
        <f>'Markowitz II'!K22</f>
        <v>8.3152928042824099E-3</v>
      </c>
      <c r="E9" s="102">
        <f>(D9-$C$11)/C9</f>
        <v>0.16423370549448654</v>
      </c>
      <c r="G9" s="8"/>
    </row>
    <row r="10" spans="2:7" ht="17" thickBot="1" x14ac:dyDescent="0.25"/>
    <row r="11" spans="2:7" ht="17" thickBot="1" x14ac:dyDescent="0.25">
      <c r="B11" s="136" t="s">
        <v>56</v>
      </c>
      <c r="C11" s="135">
        <f>1%/12</f>
        <v>8.3333333333333339E-4</v>
      </c>
    </row>
    <row r="12" spans="2:7" ht="17" thickBot="1" x14ac:dyDescent="0.25"/>
    <row r="13" spans="2:7" x14ac:dyDescent="0.2">
      <c r="B13" s="133" t="s">
        <v>84</v>
      </c>
      <c r="C13" s="134" t="s">
        <v>103</v>
      </c>
      <c r="D13" s="134" t="s">
        <v>98</v>
      </c>
    </row>
    <row r="14" spans="2:7" x14ac:dyDescent="0.2">
      <c r="B14" s="87">
        <v>0</v>
      </c>
      <c r="C14" s="88">
        <f>C11</f>
        <v>8.3333333333333339E-4</v>
      </c>
      <c r="D14" s="88">
        <f>C11</f>
        <v>8.3333333333333339E-4</v>
      </c>
    </row>
    <row r="15" spans="2:7" x14ac:dyDescent="0.2">
      <c r="B15" s="87">
        <v>0.02</v>
      </c>
      <c r="C15" s="88">
        <f>$C$11+$E$9*B15</f>
        <v>4.1180074432230641E-3</v>
      </c>
      <c r="D15" s="88">
        <f>$C$11+$E$8*B15</f>
        <v>4.2512859876264525E-3</v>
      </c>
    </row>
    <row r="16" spans="2:7" x14ac:dyDescent="0.2">
      <c r="B16" s="87">
        <v>0.04</v>
      </c>
      <c r="C16" s="88">
        <f>$C$11+$E$9*B16</f>
        <v>7.4026815531127955E-3</v>
      </c>
      <c r="D16" s="88">
        <f>$C$11+$E$8*B16</f>
        <v>7.6692386419195714E-3</v>
      </c>
    </row>
    <row r="17" spans="2:4" x14ac:dyDescent="0.2">
      <c r="B17" s="87">
        <v>0.06</v>
      </c>
      <c r="C17" s="88">
        <f>$C$11+$E$9*B17</f>
        <v>1.0687355663002525E-2</v>
      </c>
      <c r="D17" s="88">
        <f>$C$11+$E$8*B17</f>
        <v>1.108719129621269E-2</v>
      </c>
    </row>
    <row r="18" spans="2:4" x14ac:dyDescent="0.2">
      <c r="B18" s="87">
        <v>0.08</v>
      </c>
      <c r="C18" s="88">
        <f>$C$11+$E$9*B18</f>
        <v>1.3972029772892258E-2</v>
      </c>
      <c r="D18" s="88">
        <f>$C$11+$E$8*B18</f>
        <v>1.4505143950505809E-2</v>
      </c>
    </row>
    <row r="19" spans="2:4" ht="17" thickBot="1" x14ac:dyDescent="0.25">
      <c r="B19" s="89">
        <v>0.1</v>
      </c>
      <c r="C19" s="90">
        <f>$C$11+$E$9*B19</f>
        <v>1.7256703882781988E-2</v>
      </c>
      <c r="D19" s="90">
        <f>$C$11+$E$8*B19</f>
        <v>1.7923096604798926E-2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954D-0877-EE46-B33D-0C9B01042064}">
  <dimension ref="A2:I23"/>
  <sheetViews>
    <sheetView showGridLines="0" workbookViewId="0">
      <selection activeCell="G15" sqref="G15"/>
    </sheetView>
  </sheetViews>
  <sheetFormatPr baseColWidth="10" defaultColWidth="11.1640625" defaultRowHeight="16" x14ac:dyDescent="0.2"/>
  <cols>
    <col min="1" max="1" width="18.5" bestFit="1" customWidth="1"/>
    <col min="4" max="4" width="12.83203125" bestFit="1" customWidth="1"/>
    <col min="7" max="7" width="11.6640625" bestFit="1" customWidth="1"/>
    <col min="8" max="9" width="14.6640625" bestFit="1" customWidth="1"/>
    <col min="10" max="10" width="12.6640625" bestFit="1" customWidth="1"/>
    <col min="12" max="12" width="11.83203125" bestFit="1" customWidth="1"/>
    <col min="14" max="14" width="11.83203125" bestFit="1" customWidth="1"/>
  </cols>
  <sheetData>
    <row r="2" spans="1:9" ht="17" thickBot="1" x14ac:dyDescent="0.25"/>
    <row r="3" spans="1:9" ht="17" thickBot="1" x14ac:dyDescent="0.25">
      <c r="B3" s="84" t="s">
        <v>90</v>
      </c>
      <c r="C3" s="84" t="s">
        <v>91</v>
      </c>
      <c r="D3" s="84" t="s">
        <v>92</v>
      </c>
      <c r="F3" s="133" t="s">
        <v>93</v>
      </c>
      <c r="G3" s="160" t="s">
        <v>94</v>
      </c>
      <c r="H3" s="134" t="s">
        <v>95</v>
      </c>
    </row>
    <row r="4" spans="1:9" ht="17" thickBot="1" x14ac:dyDescent="0.25">
      <c r="A4" s="84" t="s">
        <v>60</v>
      </c>
      <c r="B4" s="38">
        <v>0.06</v>
      </c>
      <c r="C4" s="25">
        <v>0.04</v>
      </c>
      <c r="D4" s="26">
        <v>2.5000000000000001E-2</v>
      </c>
      <c r="F4" s="162">
        <v>9.5220838744945774E-2</v>
      </c>
      <c r="G4" s="163">
        <v>0.38573512288007811</v>
      </c>
      <c r="H4" s="164">
        <v>0.51904403837497637</v>
      </c>
      <c r="I4" s="6">
        <f>SUM(F4:H4)</f>
        <v>1.0000000000000002</v>
      </c>
    </row>
    <row r="5" spans="1:9" ht="17" thickBot="1" x14ac:dyDescent="0.25">
      <c r="A5" s="84" t="s">
        <v>55</v>
      </c>
      <c r="B5" s="29">
        <v>0.2</v>
      </c>
      <c r="C5" s="30">
        <v>0.1</v>
      </c>
      <c r="D5" s="39">
        <v>7.0000000000000007E-2</v>
      </c>
    </row>
    <row r="6" spans="1:9" x14ac:dyDescent="0.2">
      <c r="F6" s="133" t="s">
        <v>56</v>
      </c>
      <c r="G6" s="160" t="s">
        <v>83</v>
      </c>
      <c r="H6" s="160" t="s">
        <v>84</v>
      </c>
      <c r="I6" s="134" t="s">
        <v>61</v>
      </c>
    </row>
    <row r="7" spans="1:9" ht="17" thickBot="1" x14ac:dyDescent="0.25">
      <c r="A7" t="s">
        <v>43</v>
      </c>
      <c r="F7" s="161">
        <f>1%</f>
        <v>0.01</v>
      </c>
      <c r="G7" s="30">
        <f>F4*B4+G4*C4+H4*D4</f>
        <v>3.4118756199274278E-2</v>
      </c>
      <c r="H7" s="30">
        <f>SQRT(SUM(B21:D23))</f>
        <v>5.5763913495251102E-2</v>
      </c>
      <c r="I7" s="39">
        <f>(G7-F7)/H7</f>
        <v>0.43251548694350955</v>
      </c>
    </row>
    <row r="8" spans="1:9" ht="17" thickBot="1" x14ac:dyDescent="0.25">
      <c r="B8" s="84" t="s">
        <v>90</v>
      </c>
      <c r="C8" s="84" t="s">
        <v>91</v>
      </c>
      <c r="D8" s="84" t="s">
        <v>92</v>
      </c>
    </row>
    <row r="9" spans="1:9" x14ac:dyDescent="0.2">
      <c r="A9" s="84" t="s">
        <v>90</v>
      </c>
      <c r="B9" s="24">
        <v>1</v>
      </c>
      <c r="C9" s="25">
        <v>0.38900000000000001</v>
      </c>
      <c r="D9" s="26">
        <v>-0.05</v>
      </c>
    </row>
    <row r="10" spans="1:9" x14ac:dyDescent="0.2">
      <c r="A10" s="84" t="s">
        <v>91</v>
      </c>
      <c r="B10" s="27">
        <v>0.38900000000000001</v>
      </c>
      <c r="C10" s="23">
        <v>1</v>
      </c>
      <c r="D10" s="28">
        <v>-0.20100000000000001</v>
      </c>
    </row>
    <row r="11" spans="1:9" ht="17" thickBot="1" x14ac:dyDescent="0.25">
      <c r="A11" s="84" t="s">
        <v>92</v>
      </c>
      <c r="B11" s="29">
        <v>-0.05</v>
      </c>
      <c r="C11" s="30">
        <v>-0.20100000000000001</v>
      </c>
      <c r="D11" s="31">
        <v>1</v>
      </c>
    </row>
    <row r="13" spans="1:9" x14ac:dyDescent="0.2">
      <c r="A13" t="s">
        <v>77</v>
      </c>
    </row>
    <row r="14" spans="1:9" ht="17" thickBot="1" x14ac:dyDescent="0.25">
      <c r="B14" s="84" t="s">
        <v>90</v>
      </c>
      <c r="C14" s="84" t="s">
        <v>91</v>
      </c>
      <c r="D14" s="84" t="s">
        <v>105</v>
      </c>
    </row>
    <row r="15" spans="1:9" x14ac:dyDescent="0.2">
      <c r="A15" s="84" t="s">
        <v>90</v>
      </c>
      <c r="B15" s="24">
        <f>F$17*F17*B9</f>
        <v>4.0000000000000008E-2</v>
      </c>
      <c r="C15" s="25">
        <f>$F17*G17*C9</f>
        <v>7.7800000000000022E-3</v>
      </c>
      <c r="D15" s="26">
        <f>$F17*H17*D9</f>
        <v>-7.000000000000001E-4</v>
      </c>
    </row>
    <row r="16" spans="1:9" x14ac:dyDescent="0.2">
      <c r="A16" s="84" t="s">
        <v>91</v>
      </c>
      <c r="B16" s="27">
        <f>F17*$F18*B10</f>
        <v>7.7800000000000022E-3</v>
      </c>
      <c r="C16" s="23">
        <f>G17*$F18*C10</f>
        <v>1.0000000000000002E-2</v>
      </c>
      <c r="D16" s="28">
        <f>H17*$F18*D10</f>
        <v>-1.4070000000000003E-3</v>
      </c>
    </row>
    <row r="17" spans="1:9" ht="17" thickBot="1" x14ac:dyDescent="0.25">
      <c r="A17" s="84" t="s">
        <v>92</v>
      </c>
      <c r="B17" s="29">
        <f>F17*$F19*B11</f>
        <v>-7.000000000000001E-4</v>
      </c>
      <c r="C17" s="30">
        <f>G17*$F19*C11</f>
        <v>-1.4070000000000003E-3</v>
      </c>
      <c r="D17" s="31">
        <f>H17*$F19*D11</f>
        <v>4.9000000000000007E-3</v>
      </c>
      <c r="F17" s="36">
        <v>0.2</v>
      </c>
      <c r="G17" s="36">
        <v>0.1</v>
      </c>
      <c r="H17" s="36">
        <v>7.0000000000000007E-2</v>
      </c>
      <c r="I17" s="36"/>
    </row>
    <row r="18" spans="1:9" x14ac:dyDescent="0.2">
      <c r="F18" s="36">
        <v>0.1</v>
      </c>
      <c r="G18" s="36"/>
      <c r="H18" s="36"/>
      <c r="I18" s="36"/>
    </row>
    <row r="19" spans="1:9" x14ac:dyDescent="0.2">
      <c r="A19" t="s">
        <v>80</v>
      </c>
      <c r="F19" s="36">
        <v>7.0000000000000007E-2</v>
      </c>
      <c r="G19" s="36"/>
      <c r="H19" s="36"/>
      <c r="I19" s="36"/>
    </row>
    <row r="20" spans="1:9" ht="17" thickBot="1" x14ac:dyDescent="0.25">
      <c r="B20" s="84">
        <f>F4</f>
        <v>9.5220838744945774E-2</v>
      </c>
      <c r="C20" s="84">
        <f>G4</f>
        <v>0.38573512288007811</v>
      </c>
      <c r="D20" s="84">
        <f>H4</f>
        <v>0.51904403837497637</v>
      </c>
    </row>
    <row r="21" spans="1:9" x14ac:dyDescent="0.2">
      <c r="A21" s="84">
        <f>F4</f>
        <v>9.5220838744945774E-2</v>
      </c>
      <c r="B21" s="24">
        <f>B$20*A21*B15</f>
        <v>3.6268032525163871E-4</v>
      </c>
      <c r="C21" s="25">
        <f t="shared" ref="C21" si="0">C20*$A21*C15</f>
        <v>2.8575957064672048E-4</v>
      </c>
      <c r="D21" s="26">
        <f>D20*$A21*D15</f>
        <v>-3.4596666075740352E-5</v>
      </c>
    </row>
    <row r="22" spans="1:9" x14ac:dyDescent="0.2">
      <c r="A22" s="84">
        <f>G4</f>
        <v>0.38573512288007811</v>
      </c>
      <c r="B22" s="27">
        <f>B20*$A22*B16</f>
        <v>2.8575957064672048E-4</v>
      </c>
      <c r="C22" s="165">
        <f>C20*$A22*C16</f>
        <v>1.4879158502330899E-3</v>
      </c>
      <c r="D22" s="28">
        <f>D20*$A22*D16</f>
        <v>-2.8170041690330009E-4</v>
      </c>
    </row>
    <row r="23" spans="1:9" ht="17" thickBot="1" x14ac:dyDescent="0.25">
      <c r="A23" s="84">
        <f>H4</f>
        <v>0.51904403837497637</v>
      </c>
      <c r="B23" s="29">
        <f>B$20*$A23*B17</f>
        <v>-3.4596666075740352E-5</v>
      </c>
      <c r="C23" s="30">
        <f>C$20*$A23*C17</f>
        <v>-2.8170041690330009E-4</v>
      </c>
      <c r="D23" s="31">
        <f>D$20*$A23*D17</f>
        <v>1.3200928974857595E-3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A3E90-98EC-B64E-9CA7-C53AA2590A8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19</vt:i4>
      </vt:variant>
    </vt:vector>
  </HeadingPairs>
  <TitlesOfParts>
    <vt:vector size="27" baseType="lpstr">
      <vt:lpstr>Security Descriptions</vt:lpstr>
      <vt:lpstr>Monthly Return Data Input</vt:lpstr>
      <vt:lpstr>Summary Statistics</vt:lpstr>
      <vt:lpstr>Markowitz Model</vt:lpstr>
      <vt:lpstr>Optimal Ports</vt:lpstr>
      <vt:lpstr>Markowitz II</vt:lpstr>
      <vt:lpstr>Plotting Markowitz</vt:lpstr>
      <vt:lpstr>R Verify Sheet</vt:lpstr>
      <vt:lpstr>A_08</vt:lpstr>
      <vt:lpstr>A_4A</vt:lpstr>
      <vt:lpstr>A_60</vt:lpstr>
      <vt:lpstr>A_comm</vt:lpstr>
      <vt:lpstr>A_ret</vt:lpstr>
      <vt:lpstr>GSPC_08</vt:lpstr>
      <vt:lpstr>GSPC_60</vt:lpstr>
      <vt:lpstr>GSPC_comm</vt:lpstr>
      <vt:lpstr>GSPC_ret</vt:lpstr>
      <vt:lpstr>MMM_08</vt:lpstr>
      <vt:lpstr>MMM_4A</vt:lpstr>
      <vt:lpstr>MMM_60</vt:lpstr>
      <vt:lpstr>MMM_comm</vt:lpstr>
      <vt:lpstr>MMM_ret</vt:lpstr>
      <vt:lpstr>SLV_4A</vt:lpstr>
      <vt:lpstr>SLV_60</vt:lpstr>
      <vt:lpstr>SLV_comm</vt:lpstr>
      <vt:lpstr>SLV_ret</vt:lpstr>
      <vt:lpstr>SPY_4A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 Jordan</dc:creator>
  <cp:keywords/>
  <dc:description/>
  <cp:lastModifiedBy>Eli Jordan</cp:lastModifiedBy>
  <cp:revision/>
  <dcterms:created xsi:type="dcterms:W3CDTF">2025-11-06T17:57:09Z</dcterms:created>
  <dcterms:modified xsi:type="dcterms:W3CDTF">2025-11-19T21:54:48Z</dcterms:modified>
  <cp:category/>
  <cp:contentStatus/>
</cp:coreProperties>
</file>